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51ee1e6bfdc4f0/1. Voltia/Ventas/July/"/>
    </mc:Choice>
  </mc:AlternateContent>
  <xr:revisionPtr revIDLastSave="1393" documentId="13_ncr:1_{66AEFDDB-4E19-49E3-A0AC-4A58BB3ADFEA}" xr6:coauthVersionLast="47" xr6:coauthVersionMax="47" xr10:uidLastSave="{EF91F0A0-A2EE-4062-BB4C-ABF8B58FA45D}"/>
  <bookViews>
    <workbookView xWindow="-110" yWindow="-110" windowWidth="19420" windowHeight="11500" firstSheet="3" activeTab="3" xr2:uid="{00000000-000D-0000-FFFF-FFFF00000000}"/>
  </bookViews>
  <sheets>
    <sheet name="Costeo China" sheetId="3" state="hidden" r:id="rId1"/>
    <sheet name="Calculadora China" sheetId="4" state="hidden" r:id="rId2"/>
    <sheet name="Costeo URU (monotributo)" sheetId="9" state="hidden" r:id="rId3"/>
    <sheet name="CALCULADORA" sheetId="1" r:id="rId4"/>
    <sheet name="Costos" sheetId="6" r:id="rId5"/>
    <sheet name="Detalle costos" sheetId="7" r:id="rId6"/>
    <sheet name="Importación paneles" sheetId="2" state="hidden" r:id="rId7"/>
    <sheet name="Lista Materiales" sheetId="10" r:id="rId8"/>
    <sheet name="Financiacion BBVA" sheetId="12" r:id="rId9"/>
    <sheet name="Rentabilidad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Z18" i="1"/>
  <c r="AA18" i="1" s="1"/>
  <c r="Z17" i="1"/>
  <c r="AA17" i="1" s="1"/>
  <c r="Z16" i="1"/>
  <c r="AA16" i="1" s="1"/>
  <c r="AA19" i="1" s="1"/>
  <c r="AB19" i="1" s="1"/>
  <c r="AB20" i="1" s="1"/>
  <c r="X16" i="1"/>
  <c r="X18" i="1"/>
  <c r="F23" i="1"/>
  <c r="N7" i="6"/>
  <c r="J15" i="6"/>
  <c r="I14" i="6"/>
  <c r="J10" i="6"/>
  <c r="I11" i="6"/>
  <c r="I20" i="6" l="1"/>
  <c r="B7" i="6" l="1"/>
  <c r="B6" i="6"/>
  <c r="D58" i="10"/>
  <c r="E58" i="10" s="1"/>
  <c r="H58" i="10" s="1"/>
  <c r="G58" i="10" s="1"/>
  <c r="D57" i="10"/>
  <c r="E57" i="10" s="1"/>
  <c r="H57" i="10" s="1"/>
  <c r="G57" i="10" s="1"/>
  <c r="P73" i="10"/>
  <c r="P74" i="10" s="1"/>
  <c r="E80" i="10"/>
  <c r="H80" i="10" s="1"/>
  <c r="E81" i="10"/>
  <c r="H81" i="10" s="1"/>
  <c r="E82" i="10"/>
  <c r="H82" i="10" s="1"/>
  <c r="E83" i="10"/>
  <c r="H83" i="10" s="1"/>
  <c r="E84" i="10"/>
  <c r="H84" i="10" s="1"/>
  <c r="E136" i="10"/>
  <c r="H136" i="10" s="1"/>
  <c r="H126" i="10"/>
  <c r="D126" i="10"/>
  <c r="H125" i="10"/>
  <c r="D125" i="10"/>
  <c r="H124" i="10"/>
  <c r="D124" i="10"/>
  <c r="H123" i="10"/>
  <c r="D123" i="10"/>
  <c r="H122" i="10"/>
  <c r="D122" i="10"/>
  <c r="H121" i="10"/>
  <c r="D121" i="10"/>
  <c r="H120" i="10"/>
  <c r="D120" i="10"/>
  <c r="H119" i="10"/>
  <c r="D119" i="10"/>
  <c r="H118" i="10"/>
  <c r="D118" i="10"/>
  <c r="H117" i="10"/>
  <c r="D117" i="10"/>
  <c r="H116" i="10"/>
  <c r="D116" i="10"/>
  <c r="H115" i="10"/>
  <c r="D115" i="10"/>
  <c r="H114" i="10"/>
  <c r="D114" i="10"/>
  <c r="H113" i="10"/>
  <c r="D113" i="10"/>
  <c r="H112" i="10"/>
  <c r="D112" i="10"/>
  <c r="H111" i="10"/>
  <c r="D111" i="10"/>
  <c r="H110" i="10"/>
  <c r="D110" i="10"/>
  <c r="H109" i="10"/>
  <c r="D109" i="10"/>
  <c r="H108" i="10"/>
  <c r="D108" i="10"/>
  <c r="H107" i="10"/>
  <c r="D107" i="10"/>
  <c r="E106" i="10"/>
  <c r="H106" i="10" s="1"/>
  <c r="E105" i="10"/>
  <c r="H105" i="10" s="1"/>
  <c r="E104" i="10"/>
  <c r="H104" i="10" s="1"/>
  <c r="H137" i="10" s="1"/>
  <c r="E99" i="10"/>
  <c r="H99" i="10" s="1"/>
  <c r="E98" i="10"/>
  <c r="H98" i="10" s="1"/>
  <c r="E97" i="10"/>
  <c r="H97" i="10" s="1"/>
  <c r="E96" i="10"/>
  <c r="H96" i="10" s="1"/>
  <c r="E95" i="10"/>
  <c r="H95" i="10" s="1"/>
  <c r="E94" i="10"/>
  <c r="H94" i="10" s="1"/>
  <c r="E93" i="10"/>
  <c r="H93" i="10" s="1"/>
  <c r="E92" i="10"/>
  <c r="H92" i="10" s="1"/>
  <c r="E91" i="10"/>
  <c r="H91" i="10" s="1"/>
  <c r="E90" i="10"/>
  <c r="H90" i="10" s="1"/>
  <c r="E89" i="10"/>
  <c r="H89" i="10" s="1"/>
  <c r="E88" i="10"/>
  <c r="H88" i="10" s="1"/>
  <c r="E79" i="10"/>
  <c r="H79" i="10" s="1"/>
  <c r="H101" i="10" s="1"/>
  <c r="J101" i="10" s="1"/>
  <c r="K101" i="10" s="1"/>
  <c r="D75" i="10"/>
  <c r="D74" i="10"/>
  <c r="D73" i="10"/>
  <c r="E72" i="10"/>
  <c r="H72" i="10" s="1"/>
  <c r="G72" i="10" s="1"/>
  <c r="E71" i="10"/>
  <c r="H71" i="10" s="1"/>
  <c r="G71" i="10" s="1"/>
  <c r="E70" i="10"/>
  <c r="H70" i="10" s="1"/>
  <c r="G70" i="10" s="1"/>
  <c r="E69" i="10"/>
  <c r="H69" i="10" s="1"/>
  <c r="G69" i="10" s="1"/>
  <c r="E68" i="10"/>
  <c r="H68" i="10" s="1"/>
  <c r="G68" i="10" s="1"/>
  <c r="E67" i="10"/>
  <c r="H67" i="10" s="1"/>
  <c r="G67" i="10" s="1"/>
  <c r="E66" i="10"/>
  <c r="H66" i="10" s="1"/>
  <c r="G66" i="10" s="1"/>
  <c r="E65" i="10"/>
  <c r="H65" i="10" s="1"/>
  <c r="G65" i="10" s="1"/>
  <c r="E64" i="10"/>
  <c r="H64" i="10" s="1"/>
  <c r="G64" i="10" s="1"/>
  <c r="E63" i="10"/>
  <c r="H63" i="10" s="1"/>
  <c r="G63" i="10" s="1"/>
  <c r="E62" i="10"/>
  <c r="H62" i="10" s="1"/>
  <c r="G62" i="10" s="1"/>
  <c r="H61" i="10"/>
  <c r="G61" i="10"/>
  <c r="H60" i="10"/>
  <c r="G60" i="10"/>
  <c r="H59" i="10"/>
  <c r="G59" i="10"/>
  <c r="D56" i="10"/>
  <c r="E56" i="10" s="1"/>
  <c r="H56" i="10" s="1"/>
  <c r="G56" i="10" s="1"/>
  <c r="D55" i="10"/>
  <c r="E55" i="10" s="1"/>
  <c r="H55" i="10" s="1"/>
  <c r="G55" i="10" s="1"/>
  <c r="D54" i="10"/>
  <c r="E54" i="10" s="1"/>
  <c r="H54" i="10" s="1"/>
  <c r="G54" i="10" s="1"/>
  <c r="D53" i="10"/>
  <c r="E53" i="10" s="1"/>
  <c r="H53" i="10" s="1"/>
  <c r="G53" i="10" s="1"/>
  <c r="D52" i="10"/>
  <c r="E52" i="10" s="1"/>
  <c r="H52" i="10" s="1"/>
  <c r="G52" i="10" s="1"/>
  <c r="D51" i="10"/>
  <c r="E51" i="10" s="1"/>
  <c r="H51" i="10" s="1"/>
  <c r="G51" i="10" s="1"/>
  <c r="D50" i="10"/>
  <c r="E50" i="10" s="1"/>
  <c r="H50" i="10" s="1"/>
  <c r="G50" i="10" s="1"/>
  <c r="D49" i="10"/>
  <c r="E49" i="10" s="1"/>
  <c r="H49" i="10" s="1"/>
  <c r="G49" i="10" s="1"/>
  <c r="D48" i="10"/>
  <c r="E48" i="10" s="1"/>
  <c r="H48" i="10" s="1"/>
  <c r="G48" i="10" s="1"/>
  <c r="D47" i="10"/>
  <c r="E47" i="10" s="1"/>
  <c r="H47" i="10" s="1"/>
  <c r="G47" i="10" s="1"/>
  <c r="D46" i="10"/>
  <c r="E46" i="10" s="1"/>
  <c r="H46" i="10" s="1"/>
  <c r="G46" i="10" s="1"/>
  <c r="D45" i="10"/>
  <c r="E45" i="10" s="1"/>
  <c r="H45" i="10" s="1"/>
  <c r="G45" i="10" s="1"/>
  <c r="D44" i="10"/>
  <c r="E44" i="10" s="1"/>
  <c r="H44" i="10" s="1"/>
  <c r="G44" i="10" s="1"/>
  <c r="D43" i="10"/>
  <c r="E43" i="10" s="1"/>
  <c r="H43" i="10" s="1"/>
  <c r="G43" i="10" s="1"/>
  <c r="D42" i="10"/>
  <c r="E42" i="10" s="1"/>
  <c r="H42" i="10" s="1"/>
  <c r="G42" i="10" s="1"/>
  <c r="D41" i="10"/>
  <c r="E41" i="10" s="1"/>
  <c r="H41" i="10" s="1"/>
  <c r="G41" i="10" s="1"/>
  <c r="D40" i="10"/>
  <c r="E40" i="10" s="1"/>
  <c r="H40" i="10" s="1"/>
  <c r="G40" i="10" s="1"/>
  <c r="D39" i="10"/>
  <c r="E39" i="10" s="1"/>
  <c r="H39" i="10" s="1"/>
  <c r="G39" i="10" s="1"/>
  <c r="D38" i="10"/>
  <c r="E38" i="10" s="1"/>
  <c r="H38" i="10" s="1"/>
  <c r="G38" i="10" s="1"/>
  <c r="D37" i="10"/>
  <c r="E37" i="10" s="1"/>
  <c r="H37" i="10" s="1"/>
  <c r="G37" i="10" s="1"/>
  <c r="D36" i="10"/>
  <c r="E36" i="10" s="1"/>
  <c r="H36" i="10" s="1"/>
  <c r="G36" i="10" s="1"/>
  <c r="D35" i="10"/>
  <c r="E35" i="10" s="1"/>
  <c r="H35" i="10" s="1"/>
  <c r="G35" i="10" s="1"/>
  <c r="D34" i="10"/>
  <c r="E34" i="10" s="1"/>
  <c r="H34" i="10" s="1"/>
  <c r="G34" i="10" s="1"/>
  <c r="D33" i="10"/>
  <c r="E33" i="10" s="1"/>
  <c r="H33" i="10" s="1"/>
  <c r="G33" i="10" s="1"/>
  <c r="D32" i="10"/>
  <c r="E32" i="10" s="1"/>
  <c r="H32" i="10" s="1"/>
  <c r="G32" i="10" s="1"/>
  <c r="D31" i="10"/>
  <c r="E31" i="10" s="1"/>
  <c r="H31" i="10" s="1"/>
  <c r="G31" i="10" s="1"/>
  <c r="D30" i="10"/>
  <c r="E30" i="10" s="1"/>
  <c r="H30" i="10" s="1"/>
  <c r="G30" i="10" s="1"/>
  <c r="D29" i="10"/>
  <c r="E29" i="10" s="1"/>
  <c r="H29" i="10" s="1"/>
  <c r="G29" i="10" s="1"/>
  <c r="D28" i="10"/>
  <c r="E28" i="10" s="1"/>
  <c r="H28" i="10" s="1"/>
  <c r="G28" i="10" s="1"/>
  <c r="D27" i="10"/>
  <c r="E27" i="10" s="1"/>
  <c r="H27" i="10" s="1"/>
  <c r="G27" i="10" s="1"/>
  <c r="D26" i="10"/>
  <c r="E26" i="10" s="1"/>
  <c r="H26" i="10" s="1"/>
  <c r="G26" i="10" s="1"/>
  <c r="D25" i="10"/>
  <c r="E25" i="10" s="1"/>
  <c r="H25" i="10" s="1"/>
  <c r="G25" i="10" s="1"/>
  <c r="D24" i="10"/>
  <c r="E24" i="10" s="1"/>
  <c r="H24" i="10" s="1"/>
  <c r="G24" i="10" s="1"/>
  <c r="D23" i="10"/>
  <c r="E23" i="10" s="1"/>
  <c r="H23" i="10" s="1"/>
  <c r="G23" i="10" s="1"/>
  <c r="D22" i="10"/>
  <c r="E22" i="10" s="1"/>
  <c r="H22" i="10" s="1"/>
  <c r="G22" i="10" s="1"/>
  <c r="D21" i="10"/>
  <c r="E21" i="10" s="1"/>
  <c r="H21" i="10" s="1"/>
  <c r="G21" i="10" s="1"/>
  <c r="D20" i="10"/>
  <c r="E20" i="10" s="1"/>
  <c r="H20" i="10" s="1"/>
  <c r="G20" i="10" s="1"/>
  <c r="D19" i="10"/>
  <c r="E19" i="10" s="1"/>
  <c r="H19" i="10" s="1"/>
  <c r="G19" i="10" s="1"/>
  <c r="D18" i="10"/>
  <c r="E18" i="10" s="1"/>
  <c r="H18" i="10" s="1"/>
  <c r="G18" i="10" s="1"/>
  <c r="D17" i="10"/>
  <c r="E17" i="10" s="1"/>
  <c r="H17" i="10" s="1"/>
  <c r="G17" i="10" s="1"/>
  <c r="D16" i="10"/>
  <c r="E16" i="10" s="1"/>
  <c r="H16" i="10" s="1"/>
  <c r="G16" i="10" s="1"/>
  <c r="D15" i="10"/>
  <c r="E15" i="10" s="1"/>
  <c r="H15" i="10" s="1"/>
  <c r="G15" i="10" s="1"/>
  <c r="D14" i="10"/>
  <c r="E14" i="10" s="1"/>
  <c r="H14" i="10" s="1"/>
  <c r="G14" i="10" s="1"/>
  <c r="D13" i="10"/>
  <c r="E13" i="10" s="1"/>
  <c r="H13" i="10" s="1"/>
  <c r="G13" i="10" s="1"/>
  <c r="D12" i="10"/>
  <c r="E12" i="10" s="1"/>
  <c r="H12" i="10" s="1"/>
  <c r="G12" i="10" s="1"/>
  <c r="D11" i="10"/>
  <c r="E11" i="10" s="1"/>
  <c r="H11" i="10" s="1"/>
  <c r="G11" i="10" s="1"/>
  <c r="D10" i="10"/>
  <c r="E10" i="10" s="1"/>
  <c r="H10" i="10" s="1"/>
  <c r="G10" i="10" s="1"/>
  <c r="D9" i="10"/>
  <c r="E9" i="10" s="1"/>
  <c r="H9" i="10" s="1"/>
  <c r="G9" i="10" s="1"/>
  <c r="D8" i="10"/>
  <c r="E8" i="10" s="1"/>
  <c r="H8" i="10" s="1"/>
  <c r="G8" i="10" s="1"/>
  <c r="D7" i="10"/>
  <c r="E7" i="10" s="1"/>
  <c r="H7" i="10" s="1"/>
  <c r="G7" i="10" s="1"/>
  <c r="D6" i="10"/>
  <c r="E6" i="10" s="1"/>
  <c r="H6" i="10" s="1"/>
  <c r="G6" i="10" s="1"/>
  <c r="D5" i="10"/>
  <c r="E5" i="10" s="1"/>
  <c r="H5" i="10" s="1"/>
  <c r="G5" i="10" s="1"/>
  <c r="D4" i="10"/>
  <c r="E4" i="10" s="1"/>
  <c r="H4" i="10" s="1"/>
  <c r="G4" i="10" s="1"/>
  <c r="D3" i="10"/>
  <c r="E3" i="10" s="1"/>
  <c r="H3" i="10" s="1"/>
  <c r="F14" i="1"/>
  <c r="F26" i="1" s="1"/>
  <c r="C45" i="1" s="1"/>
  <c r="W5" i="1"/>
  <c r="W6" i="1"/>
  <c r="W7" i="1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37" i="7"/>
  <c r="E37" i="7"/>
  <c r="D38" i="7"/>
  <c r="E38" i="7"/>
  <c r="D43" i="7"/>
  <c r="E43" i="7"/>
  <c r="D44" i="7"/>
  <c r="E44" i="7"/>
  <c r="D45" i="7"/>
  <c r="E45" i="7"/>
  <c r="D46" i="7"/>
  <c r="E46" i="7"/>
  <c r="D47" i="7"/>
  <c r="E47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26" i="7"/>
  <c r="E26" i="7"/>
  <c r="D7" i="7"/>
  <c r="E7" i="7"/>
  <c r="E69" i="7"/>
  <c r="E68" i="7"/>
  <c r="E67" i="7"/>
  <c r="E66" i="7"/>
  <c r="D62" i="7"/>
  <c r="E62" i="7" s="1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D55" i="7"/>
  <c r="E55" i="7" s="1"/>
  <c r="D54" i="7"/>
  <c r="E54" i="7" s="1"/>
  <c r="D53" i="7"/>
  <c r="E53" i="7" s="1"/>
  <c r="D52" i="7"/>
  <c r="E52" i="7" s="1"/>
  <c r="D51" i="7"/>
  <c r="E51" i="7" s="1"/>
  <c r="D50" i="7"/>
  <c r="E50" i="7" s="1"/>
  <c r="D49" i="7"/>
  <c r="E49" i="7" s="1"/>
  <c r="D48" i="7"/>
  <c r="E48" i="7" s="1"/>
  <c r="D42" i="7"/>
  <c r="E42" i="7" s="1"/>
  <c r="D41" i="7"/>
  <c r="E41" i="7" s="1"/>
  <c r="D40" i="7"/>
  <c r="E40" i="7" s="1"/>
  <c r="D39" i="7"/>
  <c r="E39" i="7" s="1"/>
  <c r="D36" i="7"/>
  <c r="E36" i="7" s="1"/>
  <c r="D25" i="7"/>
  <c r="E25" i="7" s="1"/>
  <c r="D9" i="7"/>
  <c r="E9" i="7" s="1"/>
  <c r="D8" i="7"/>
  <c r="E8" i="7" s="1"/>
  <c r="D6" i="7"/>
  <c r="E6" i="7" s="1"/>
  <c r="D5" i="7"/>
  <c r="E5" i="7" s="1"/>
  <c r="D4" i="7"/>
  <c r="E4" i="7" s="1"/>
  <c r="D3" i="7"/>
  <c r="E3" i="7" s="1"/>
  <c r="C7" i="6"/>
  <c r="U3" i="1" a="1"/>
  <c r="U3" i="1" s="1"/>
  <c r="J4" i="1" s="1"/>
  <c r="C66" i="1"/>
  <c r="C61" i="1"/>
  <c r="C54" i="1"/>
  <c r="B5" i="6"/>
  <c r="E5" i="6" s="1"/>
  <c r="C53" i="1"/>
  <c r="C50" i="1"/>
  <c r="C48" i="1"/>
  <c r="C47" i="1"/>
  <c r="C46" i="1"/>
  <c r="C42" i="1"/>
  <c r="C41" i="1"/>
  <c r="C40" i="1"/>
  <c r="C39" i="1"/>
  <c r="C38" i="1"/>
  <c r="C36" i="1"/>
  <c r="C35" i="1"/>
  <c r="C19" i="1"/>
  <c r="C37" i="1" s="1"/>
  <c r="F15" i="1"/>
  <c r="M5" i="6"/>
  <c r="N5" i="6" l="1"/>
  <c r="M3" i="6"/>
  <c r="H77" i="10"/>
  <c r="G3" i="10"/>
  <c r="H140" i="10"/>
  <c r="F25" i="1"/>
  <c r="L18" i="1" s="1"/>
  <c r="J16" i="1"/>
  <c r="C43" i="1"/>
  <c r="L16" i="1"/>
  <c r="F19" i="1"/>
  <c r="C44" i="1" s="1"/>
  <c r="E7" i="6"/>
  <c r="F7" i="6" s="1"/>
  <c r="C4" i="6"/>
  <c r="N6" i="6"/>
  <c r="J8" i="6"/>
  <c r="N4" i="6"/>
  <c r="C3" i="6"/>
  <c r="B26" i="11"/>
  <c r="B7" i="11"/>
  <c r="B9" i="11" s="1"/>
  <c r="B23" i="11"/>
  <c r="V52" i="7"/>
  <c r="F32" i="11"/>
  <c r="F10" i="11"/>
  <c r="F21" i="1" l="1"/>
  <c r="F27" i="1"/>
  <c r="L17" i="1"/>
  <c r="F20" i="1"/>
  <c r="C49" i="1" s="1"/>
  <c r="B24" i="11"/>
  <c r="C4" i="11"/>
  <c r="B25" i="11"/>
  <c r="B21" i="11"/>
  <c r="B22" i="11"/>
  <c r="C5" i="11"/>
  <c r="F22" i="9"/>
  <c r="F21" i="9" s="1"/>
  <c r="F18" i="9" s="1"/>
  <c r="E24" i="9" s="1"/>
  <c r="F20" i="9"/>
  <c r="F17" i="9" s="1"/>
  <c r="E23" i="9" s="1"/>
  <c r="J15" i="9"/>
  <c r="J19" i="9" s="1"/>
  <c r="T11" i="9"/>
  <c r="T10" i="9"/>
  <c r="T14" i="9" s="1"/>
  <c r="J4" i="9"/>
  <c r="M8" i="9" s="1"/>
  <c r="C5" i="6"/>
  <c r="AA14" i="7"/>
  <c r="AB14" i="7" s="1"/>
  <c r="AA22" i="7"/>
  <c r="AB22" i="7" s="1"/>
  <c r="AA24" i="7"/>
  <c r="AB24" i="7" s="1"/>
  <c r="AA13" i="7"/>
  <c r="AB5" i="7"/>
  <c r="AC5" i="7" s="1"/>
  <c r="AB6" i="7"/>
  <c r="AC6" i="7" s="1"/>
  <c r="AB8" i="7"/>
  <c r="AC8" i="7" s="1"/>
  <c r="AB4" i="7"/>
  <c r="M10" i="6" l="1"/>
  <c r="N3" i="6"/>
  <c r="F19" i="9"/>
  <c r="E25" i="9" s="1"/>
  <c r="U4" i="7"/>
  <c r="U3" i="7"/>
  <c r="F5" i="6"/>
  <c r="V54" i="7"/>
  <c r="V53" i="7"/>
  <c r="V51" i="7"/>
  <c r="V50" i="7"/>
  <c r="V49" i="7"/>
  <c r="V48" i="7"/>
  <c r="V42" i="7"/>
  <c r="V41" i="7"/>
  <c r="V40" i="7"/>
  <c r="V55" i="7" s="1"/>
  <c r="V56" i="7" s="1"/>
  <c r="V57" i="7" s="1"/>
  <c r="T54" i="7"/>
  <c r="T53" i="7"/>
  <c r="T52" i="7"/>
  <c r="T51" i="7"/>
  <c r="T50" i="7"/>
  <c r="T49" i="7"/>
  <c r="T48" i="7"/>
  <c r="T42" i="7"/>
  <c r="T41" i="7"/>
  <c r="T40" i="7"/>
  <c r="T55" i="7" s="1"/>
  <c r="R53" i="7"/>
  <c r="R52" i="7"/>
  <c r="R51" i="7"/>
  <c r="R50" i="7"/>
  <c r="R49" i="7"/>
  <c r="R48" i="7"/>
  <c r="R42" i="7"/>
  <c r="R41" i="7"/>
  <c r="R40" i="7"/>
  <c r="P42" i="7"/>
  <c r="P48" i="7"/>
  <c r="P49" i="7"/>
  <c r="P50" i="7"/>
  <c r="P51" i="7"/>
  <c r="P52" i="7"/>
  <c r="P53" i="7"/>
  <c r="P41" i="7"/>
  <c r="P40" i="7"/>
  <c r="L5" i="7"/>
  <c r="L4" i="7"/>
  <c r="L3" i="7"/>
  <c r="Y8" i="7"/>
  <c r="M13" i="9" l="1"/>
  <c r="P55" i="7"/>
  <c r="P56" i="7" s="1"/>
  <c r="P57" i="7" s="1"/>
  <c r="T56" i="7"/>
  <c r="R55" i="7"/>
  <c r="R56" i="7" s="1"/>
  <c r="R57" i="7" s="1"/>
  <c r="Y6" i="7"/>
  <c r="W4" i="7"/>
  <c r="Y5" i="7"/>
  <c r="Y3" i="7"/>
  <c r="P3" i="7"/>
  <c r="P5" i="7"/>
  <c r="P4" i="7"/>
  <c r="J4" i="6"/>
  <c r="I5" i="6"/>
  <c r="M11" i="6"/>
  <c r="J3" i="6"/>
  <c r="J6" i="6"/>
  <c r="J20" i="6" s="1"/>
  <c r="I3" i="3"/>
  <c r="B30" i="2"/>
  <c r="I21" i="2"/>
  <c r="G3" i="3"/>
  <c r="E31" i="2" s="1"/>
  <c r="E32" i="2" s="1"/>
  <c r="B14" i="4"/>
  <c r="G11" i="4"/>
  <c r="G15" i="4" s="1"/>
  <c r="C11" i="4"/>
  <c r="C15" i="4" s="1"/>
  <c r="B11" i="4"/>
  <c r="B15" i="4" s="1"/>
  <c r="K7" i="4"/>
  <c r="K5" i="4"/>
  <c r="J5" i="4"/>
  <c r="J11" i="4" s="1"/>
  <c r="J15" i="4" s="1"/>
  <c r="I5" i="4"/>
  <c r="I11" i="4" s="1"/>
  <c r="I15" i="4" s="1"/>
  <c r="H5" i="4"/>
  <c r="H14" i="4" s="1"/>
  <c r="G5" i="4"/>
  <c r="G14" i="4" s="1"/>
  <c r="F5" i="4"/>
  <c r="F11" i="4" s="1"/>
  <c r="F15" i="4" s="1"/>
  <c r="E5" i="4"/>
  <c r="E11" i="4" s="1"/>
  <c r="E15" i="4" s="1"/>
  <c r="D5" i="4"/>
  <c r="D14" i="4" s="1"/>
  <c r="C5" i="4"/>
  <c r="C14" i="4" s="1"/>
  <c r="K4" i="4"/>
  <c r="J4" i="4"/>
  <c r="I4" i="4"/>
  <c r="I14" i="4" s="1"/>
  <c r="H4" i="4"/>
  <c r="G4" i="4"/>
  <c r="F4" i="4"/>
  <c r="E4" i="4"/>
  <c r="E14" i="4" s="1"/>
  <c r="D4" i="4"/>
  <c r="K3" i="4"/>
  <c r="K9" i="4" s="1"/>
  <c r="J3" i="4"/>
  <c r="I3" i="4"/>
  <c r="H3" i="4"/>
  <c r="G3" i="4"/>
  <c r="F3" i="4"/>
  <c r="E3" i="4"/>
  <c r="D3" i="4"/>
  <c r="C3" i="4"/>
  <c r="B3" i="4"/>
  <c r="G8" i="3"/>
  <c r="G7" i="3"/>
  <c r="G6" i="3" s="1"/>
  <c r="H6" i="3" s="1"/>
  <c r="G5" i="3"/>
  <c r="H5" i="3" s="1"/>
  <c r="G4" i="3"/>
  <c r="H4" i="3" s="1"/>
  <c r="C19" i="3"/>
  <c r="C20" i="3" s="1"/>
  <c r="F18" i="3"/>
  <c r="G18" i="3" s="1"/>
  <c r="F17" i="3"/>
  <c r="G17" i="3" s="1"/>
  <c r="K14" i="3"/>
  <c r="K21" i="3" s="1"/>
  <c r="H13" i="3"/>
  <c r="B14" i="2"/>
  <c r="B11" i="2"/>
  <c r="B15" i="2" s="1"/>
  <c r="K5" i="2"/>
  <c r="J5" i="2"/>
  <c r="J11" i="2" s="1"/>
  <c r="I5" i="2"/>
  <c r="H5" i="2"/>
  <c r="G5" i="2"/>
  <c r="G11" i="2" s="1"/>
  <c r="F5" i="2"/>
  <c r="F11" i="2" s="1"/>
  <c r="E5" i="2"/>
  <c r="D5" i="2"/>
  <c r="C5" i="2"/>
  <c r="C11" i="2" s="1"/>
  <c r="C15" i="2" s="1"/>
  <c r="K4" i="2"/>
  <c r="J4" i="2"/>
  <c r="I4" i="2"/>
  <c r="H4" i="2"/>
  <c r="G4" i="2"/>
  <c r="F4" i="2"/>
  <c r="E4" i="2"/>
  <c r="D4" i="2"/>
  <c r="K3" i="2"/>
  <c r="K7" i="2" s="1"/>
  <c r="J3" i="2"/>
  <c r="I3" i="2"/>
  <c r="H3" i="2"/>
  <c r="G3" i="2"/>
  <c r="F3" i="2"/>
  <c r="E3" i="2"/>
  <c r="D3" i="2"/>
  <c r="C3" i="2"/>
  <c r="B3" i="2"/>
  <c r="Y4" i="7" l="1"/>
  <c r="AC4" i="7"/>
  <c r="AB13" i="7"/>
  <c r="F5" i="1"/>
  <c r="G5" i="1" s="1"/>
  <c r="F5" i="9"/>
  <c r="G5" i="9" s="1"/>
  <c r="I21" i="6"/>
  <c r="F4" i="1" s="1"/>
  <c r="J5" i="6"/>
  <c r="N10" i="6"/>
  <c r="N11" i="6" s="1"/>
  <c r="M13" i="6" s="1"/>
  <c r="E33" i="2"/>
  <c r="I20" i="2"/>
  <c r="G9" i="3"/>
  <c r="H9" i="3" s="1"/>
  <c r="I23" i="4"/>
  <c r="I22" i="4"/>
  <c r="I21" i="4"/>
  <c r="K8" i="4"/>
  <c r="K11" i="4" s="1"/>
  <c r="K15" i="4" s="1"/>
  <c r="D11" i="4"/>
  <c r="D15" i="4" s="1"/>
  <c r="H11" i="4"/>
  <c r="H15" i="4" s="1"/>
  <c r="F14" i="4"/>
  <c r="J14" i="4"/>
  <c r="I23" i="2"/>
  <c r="I26" i="2" s="1"/>
  <c r="K4" i="3"/>
  <c r="F16" i="3"/>
  <c r="G16" i="3" s="1"/>
  <c r="H8" i="3"/>
  <c r="H7" i="3"/>
  <c r="H3" i="3"/>
  <c r="D14" i="2"/>
  <c r="H14" i="2"/>
  <c r="K8" i="2"/>
  <c r="F14" i="2"/>
  <c r="J14" i="2"/>
  <c r="E14" i="2"/>
  <c r="F15" i="2"/>
  <c r="J15" i="2"/>
  <c r="D11" i="2"/>
  <c r="D15" i="2" s="1"/>
  <c r="I14" i="2"/>
  <c r="G15" i="2"/>
  <c r="H11" i="2"/>
  <c r="H15" i="2" s="1"/>
  <c r="K9" i="2"/>
  <c r="E11" i="2"/>
  <c r="E15" i="2" s="1"/>
  <c r="I11" i="2"/>
  <c r="I15" i="2" s="1"/>
  <c r="C14" i="2"/>
  <c r="G14" i="2"/>
  <c r="F4" i="9" l="1"/>
  <c r="J21" i="6"/>
  <c r="I24" i="2"/>
  <c r="I25" i="2" s="1"/>
  <c r="I22" i="2"/>
  <c r="I28" i="2"/>
  <c r="I27" i="4"/>
  <c r="I26" i="4"/>
  <c r="I25" i="4"/>
  <c r="I24" i="4"/>
  <c r="I27" i="2"/>
  <c r="H11" i="3"/>
  <c r="K11" i="2"/>
  <c r="K15" i="2" s="1"/>
  <c r="I23" i="6" l="1"/>
  <c r="G4" i="1"/>
  <c r="G4" i="9"/>
  <c r="I30" i="2"/>
  <c r="I31" i="2" s="1"/>
  <c r="I29" i="4"/>
  <c r="I30" i="4" s="1"/>
  <c r="C17" i="3"/>
  <c r="C11" i="3"/>
  <c r="K3" i="3"/>
  <c r="K5" i="3" l="1"/>
  <c r="C12" i="3"/>
  <c r="C13" i="3"/>
  <c r="C14" i="3" s="1"/>
  <c r="C15" i="3" s="1"/>
  <c r="M6" i="1"/>
  <c r="J6" i="9" l="1"/>
  <c r="C18" i="3"/>
  <c r="K7" i="3"/>
  <c r="K6" i="9" l="1"/>
  <c r="K8" i="3"/>
  <c r="K11" i="3" s="1"/>
  <c r="K16" i="3" l="1"/>
  <c r="K18" i="3" s="1"/>
  <c r="K22" i="3"/>
  <c r="M15" i="9" l="1"/>
  <c r="B28" i="11" l="1"/>
  <c r="C21" i="11" l="1"/>
  <c r="C3" i="11" l="1"/>
  <c r="C9" i="11" l="1"/>
  <c r="B11" i="11" s="1"/>
  <c r="B12" i="11" s="1"/>
  <c r="D3" i="6"/>
  <c r="E3" i="6" s="1"/>
  <c r="D4" i="6" l="1"/>
  <c r="E4" i="6" s="1"/>
  <c r="F4" i="6" s="1"/>
  <c r="F3" i="6"/>
  <c r="C6" i="6"/>
  <c r="E6" i="6"/>
  <c r="C56" i="1" l="1"/>
  <c r="J17" i="1"/>
  <c r="J21" i="1" s="1"/>
  <c r="C58" i="1" s="1"/>
  <c r="C55" i="1"/>
  <c r="E10" i="6"/>
  <c r="F3" i="1" s="1"/>
  <c r="F6" i="6"/>
  <c r="F10" i="6" s="1"/>
  <c r="C57" i="1" l="1"/>
  <c r="E13" i="6"/>
  <c r="B15" i="6" s="1"/>
  <c r="F3" i="9"/>
  <c r="G3" i="9" s="1"/>
  <c r="G11" i="9" s="1"/>
  <c r="G3" i="1"/>
  <c r="G12" i="1" s="1"/>
  <c r="F12" i="1"/>
  <c r="J3" i="1" s="1"/>
  <c r="F11" i="9" l="1"/>
  <c r="J5" i="1"/>
  <c r="J3" i="9"/>
  <c r="M5" i="9"/>
  <c r="M3" i="1"/>
  <c r="M9" i="1"/>
  <c r="J6" i="1" l="1"/>
  <c r="J7" i="1" s="1"/>
  <c r="M11" i="1" s="1"/>
  <c r="J5" i="9"/>
  <c r="J7" i="9" s="1"/>
  <c r="J11" i="9" s="1"/>
  <c r="J9" i="1" l="1"/>
  <c r="M10" i="1"/>
  <c r="J12" i="9"/>
  <c r="K11" i="9"/>
  <c r="J10" i="1" l="1"/>
  <c r="J12" i="1"/>
  <c r="J20" i="9"/>
  <c r="J17" i="9"/>
  <c r="J18" i="9" s="1"/>
  <c r="C7" i="9"/>
  <c r="M7" i="9" s="1"/>
  <c r="J22" i="9"/>
  <c r="C51" i="1" l="1"/>
  <c r="K19" i="1"/>
  <c r="K20" i="1" s="1"/>
  <c r="J13" i="1"/>
  <c r="M2" i="9"/>
  <c r="C6" i="9"/>
  <c r="C14" i="9" s="1"/>
  <c r="C52" i="1" l="1"/>
  <c r="F24" i="1"/>
  <c r="B2" i="12"/>
  <c r="M8" i="1"/>
  <c r="J19" i="1"/>
  <c r="J20" i="1" s="1"/>
  <c r="J23" i="1"/>
  <c r="C59" i="1" s="1"/>
  <c r="J24" i="1"/>
  <c r="M3" i="9"/>
  <c r="M4" i="9" s="1"/>
  <c r="M6" i="9" s="1"/>
  <c r="M10" i="9" s="1"/>
  <c r="C15" i="9"/>
  <c r="C16" i="9"/>
  <c r="C20" i="9"/>
  <c r="C60" i="1" l="1"/>
  <c r="F22" i="1"/>
  <c r="C62" i="1"/>
  <c r="B7" i="12"/>
  <c r="F7" i="12"/>
  <c r="D7" i="12"/>
  <c r="M2" i="1"/>
  <c r="M4" i="1" s="1"/>
  <c r="M5" i="1"/>
  <c r="C17" i="9"/>
  <c r="C18" i="9" s="1"/>
  <c r="C21" i="9"/>
  <c r="C22" i="9" s="1"/>
  <c r="C23" i="9" s="1"/>
  <c r="M11" i="9"/>
  <c r="M12" i="9" s="1"/>
  <c r="M16" i="9" s="1"/>
  <c r="M7" i="1" l="1"/>
  <c r="M12" i="1" s="1"/>
  <c r="D9" i="12"/>
  <c r="E9" i="12" s="1"/>
  <c r="E7" i="12"/>
  <c r="G7" i="12"/>
  <c r="F9" i="12"/>
  <c r="G9" i="12" s="1"/>
  <c r="C7" i="12"/>
  <c r="B9" i="12"/>
  <c r="C9" i="12" s="1"/>
  <c r="M14" i="1" l="1"/>
  <c r="R3" i="1"/>
  <c r="D8" i="12"/>
  <c r="D10" i="12" s="1"/>
  <c r="F8" i="12"/>
  <c r="G8" i="12" s="1"/>
  <c r="B8" i="12"/>
  <c r="C8" i="12" s="1"/>
  <c r="B10" i="12" l="1"/>
  <c r="B11" i="12" s="1"/>
  <c r="C11" i="12" s="1"/>
  <c r="F16" i="1" s="1"/>
  <c r="C63" i="1" s="1"/>
  <c r="F10" i="12"/>
  <c r="G10" i="12" s="1"/>
  <c r="E8" i="12"/>
  <c r="D11" i="12"/>
  <c r="E11" i="12" s="1"/>
  <c r="E10" i="12"/>
  <c r="F17" i="1" l="1"/>
  <c r="C64" i="1" s="1"/>
  <c r="C10" i="12"/>
  <c r="F11" i="12"/>
  <c r="G11" i="12" s="1"/>
  <c r="F18" i="1" s="1"/>
  <c r="C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<sst xmlns="http://schemas.openxmlformats.org/spreadsheetml/2006/main" count="1075" uniqueCount="468">
  <si>
    <t>DATOS</t>
  </si>
  <si>
    <t>COSTEO</t>
  </si>
  <si>
    <t>PRICING</t>
  </si>
  <si>
    <t>Potencia (kW)</t>
  </si>
  <si>
    <t>Item</t>
  </si>
  <si>
    <t>Costo unitario (USD sin iva)</t>
  </si>
  <si>
    <t>Cantidad</t>
  </si>
  <si>
    <t>Costo subtotal (USD sin iva)</t>
  </si>
  <si>
    <t>Valor 
(USD sin iva)</t>
  </si>
  <si>
    <t>Dólar</t>
  </si>
  <si>
    <t>Paneles 300 W</t>
  </si>
  <si>
    <t>Costos</t>
  </si>
  <si>
    <t>Margen negocio (%)</t>
  </si>
  <si>
    <t>Cables FV (m)</t>
  </si>
  <si>
    <t>Mano de obra</t>
  </si>
  <si>
    <t>TIR inversionista (%)</t>
  </si>
  <si>
    <t>Cables BVR (m)</t>
  </si>
  <si>
    <t>Margen</t>
  </si>
  <si>
    <t>Inversion VOLTIA (USD)</t>
  </si>
  <si>
    <t>Conectores</t>
  </si>
  <si>
    <t>Plazo (días)</t>
  </si>
  <si>
    <t>Protección</t>
  </si>
  <si>
    <t>Subtotal</t>
  </si>
  <si>
    <t>Inversor</t>
  </si>
  <si>
    <t>IVA</t>
  </si>
  <si>
    <t>INVERSIÓN</t>
  </si>
  <si>
    <t>Estructura</t>
  </si>
  <si>
    <t>Inversionista</t>
  </si>
  <si>
    <t>Inversión (USD)</t>
  </si>
  <si>
    <t>TOTAL</t>
  </si>
  <si>
    <t>Porcentaje inversionista</t>
  </si>
  <si>
    <t>Ganancia de inversionista (USD)</t>
  </si>
  <si>
    <t>Hora técnico CAT A ($)</t>
  </si>
  <si>
    <t>Horas CAT A</t>
  </si>
  <si>
    <t>Ahorro mes ($)</t>
  </si>
  <si>
    <t>Rentabilidad de inversión</t>
  </si>
  <si>
    <t>Hora técnico CAT C ($)</t>
  </si>
  <si>
    <t>Horas CAT C</t>
  </si>
  <si>
    <t>Ahorro mes (USD)</t>
  </si>
  <si>
    <t>TIR</t>
  </si>
  <si>
    <t>Hora técnico CAT D ($)</t>
  </si>
  <si>
    <t>Horas CAT D</t>
  </si>
  <si>
    <t>Costo técnico CAT A ($)</t>
  </si>
  <si>
    <t>Tiempo de recuperación (meses)</t>
  </si>
  <si>
    <t>VOLTIA</t>
  </si>
  <si>
    <t>Porcentaje inversión VOLTIA</t>
  </si>
  <si>
    <t>Costo técnico CAT C ($)</t>
  </si>
  <si>
    <t>Ganancia VOLTIA (USD)</t>
  </si>
  <si>
    <t>Costo técnico CAT D ($)</t>
  </si>
  <si>
    <t>Tiempo de recuperación (años)</t>
  </si>
  <si>
    <t>Rentabilidad inversión VOLTIA</t>
  </si>
  <si>
    <t>Ganancia anual</t>
  </si>
  <si>
    <t>Rentabilidad anual</t>
  </si>
  <si>
    <t>Cajas</t>
  </si>
  <si>
    <t>Metros cuadrados</t>
  </si>
  <si>
    <t>Potencia</t>
  </si>
  <si>
    <t>Producto</t>
  </si>
  <si>
    <t>Comision</t>
  </si>
  <si>
    <t>Gastos origen</t>
  </si>
  <si>
    <t>Gastos destino e impuestos</t>
  </si>
  <si>
    <t>Fletes y seguro</t>
  </si>
  <si>
    <t>$/W origen</t>
  </si>
  <si>
    <t>$/W final</t>
  </si>
  <si>
    <t>Potencia/caja</t>
  </si>
  <si>
    <t>Metros</t>
  </si>
  <si>
    <t>Flete/metro</t>
  </si>
  <si>
    <t>Calculadora</t>
  </si>
  <si>
    <t>Cajas por metro</t>
  </si>
  <si>
    <t>Gastos origen/metro</t>
  </si>
  <si>
    <t>Gastos destino/metro</t>
  </si>
  <si>
    <t>Producto (USD)</t>
  </si>
  <si>
    <t>Impuesto</t>
  </si>
  <si>
    <t>Comision (USD)</t>
  </si>
  <si>
    <t>Gastos origen (USD)</t>
  </si>
  <si>
    <t>Precio por caja</t>
  </si>
  <si>
    <t>Gastos destino e impuestos (USD)</t>
  </si>
  <si>
    <t>Fletes y seguro (USD)</t>
  </si>
  <si>
    <t>TOTAL (USD sin iva)</t>
  </si>
  <si>
    <t>Costo cada panel</t>
  </si>
  <si>
    <t>USD/W final (sin iva)</t>
  </si>
  <si>
    <t>Flujo de caja (USD)</t>
  </si>
  <si>
    <t>Costo subtotal (USD con iva)</t>
  </si>
  <si>
    <t>Valor 
(USD)</t>
  </si>
  <si>
    <t>Cobro adelanto cliente</t>
  </si>
  <si>
    <t>Equipamiento</t>
  </si>
  <si>
    <t>Cobro inversionista</t>
  </si>
  <si>
    <t>Costos fijos</t>
  </si>
  <si>
    <t>Costos variables</t>
  </si>
  <si>
    <t>Pago al provedor</t>
  </si>
  <si>
    <t>Ventas</t>
  </si>
  <si>
    <t>Pago inicial cliente (USD)</t>
  </si>
  <si>
    <t>Cobro saldo cliente</t>
  </si>
  <si>
    <t>Pago mano de obra</t>
  </si>
  <si>
    <t>Minimo</t>
  </si>
  <si>
    <t>Vendedor</t>
  </si>
  <si>
    <t>No</t>
  </si>
  <si>
    <t>Hotel</t>
  </si>
  <si>
    <t>TOTAL (sin iva)</t>
  </si>
  <si>
    <t>Pago inversionista</t>
  </si>
  <si>
    <t>Comida</t>
  </si>
  <si>
    <t>TOTAL (USD iva inc)</t>
  </si>
  <si>
    <t>Nafta</t>
  </si>
  <si>
    <t>Pago IVA</t>
  </si>
  <si>
    <t>Flete</t>
  </si>
  <si>
    <t>Devolución IVA</t>
  </si>
  <si>
    <t>Pago IRAE</t>
  </si>
  <si>
    <t>Ganancia final</t>
  </si>
  <si>
    <t>PRI (meses)</t>
  </si>
  <si>
    <t>PRI (años)</t>
  </si>
  <si>
    <t>USD/W</t>
  </si>
  <si>
    <t>Horas/kW</t>
  </si>
  <si>
    <t>Cuanto paga de UTE?</t>
  </si>
  <si>
    <t>Cantidad de Paneles estimado</t>
  </si>
  <si>
    <t>Datos cliente</t>
  </si>
  <si>
    <t>Nombre cliente</t>
  </si>
  <si>
    <t>Multiplexacion</t>
  </si>
  <si>
    <t>Hora técnico Elec ($)</t>
  </si>
  <si>
    <t xml:space="preserve">Dirigido a </t>
  </si>
  <si>
    <t>Ganancia mes</t>
  </si>
  <si>
    <t>Hora técnico Capataz ($)</t>
  </si>
  <si>
    <t>Verifica Techo</t>
  </si>
  <si>
    <t>Verifica Potencia</t>
  </si>
  <si>
    <t>Verifica UTE</t>
  </si>
  <si>
    <t>Si</t>
  </si>
  <si>
    <t>Ciudad</t>
  </si>
  <si>
    <t>Montevideo, Uruguay.</t>
  </si>
  <si>
    <t>No verifica Techo</t>
  </si>
  <si>
    <t xml:space="preserve">Requiere aumento de Potencia </t>
  </si>
  <si>
    <t>No verifica UTE</t>
  </si>
  <si>
    <t>Datos Factura UTE</t>
  </si>
  <si>
    <t>Paga por mes de UTE ($)</t>
  </si>
  <si>
    <t>Markup</t>
  </si>
  <si>
    <t>Tarifa</t>
  </si>
  <si>
    <t>Doble</t>
  </si>
  <si>
    <t>Comision Ventas</t>
  </si>
  <si>
    <t>Suministro</t>
  </si>
  <si>
    <t>monofásico</t>
  </si>
  <si>
    <t>Comision BBVA</t>
  </si>
  <si>
    <t>Potencia contratada (kW)</t>
  </si>
  <si>
    <t>Datos techo</t>
  </si>
  <si>
    <t>Techo</t>
  </si>
  <si>
    <t>Tamaño techo (m2)</t>
  </si>
  <si>
    <t>Pago Vendedor</t>
  </si>
  <si>
    <t>Datos generales cotización</t>
  </si>
  <si>
    <t>Distancia instalación (km)</t>
  </si>
  <si>
    <t>Pago BBVA</t>
  </si>
  <si>
    <t>Cotización Dólar</t>
  </si>
  <si>
    <t>Markup (%)</t>
  </si>
  <si>
    <t>Paneles</t>
  </si>
  <si>
    <t>Potencia tot paneles (kW)</t>
  </si>
  <si>
    <t>Datos equipos</t>
  </si>
  <si>
    <t>Potencia cada paneles (W)</t>
  </si>
  <si>
    <t>Potencia inversor2</t>
  </si>
  <si>
    <t>Marca Paneles</t>
  </si>
  <si>
    <t>24 cuotas</t>
  </si>
  <si>
    <t>Sueldo Capataz</t>
  </si>
  <si>
    <t>Potencia inversor (kW)</t>
  </si>
  <si>
    <t>36 cuotas</t>
  </si>
  <si>
    <t>Sueldo Peon</t>
  </si>
  <si>
    <t>Marca inversor</t>
  </si>
  <si>
    <t>Growatt</t>
  </si>
  <si>
    <t>60 cuotas</t>
  </si>
  <si>
    <t>Sueldo Electricista</t>
  </si>
  <si>
    <t>Fecha</t>
  </si>
  <si>
    <t>Potencia IMG 1</t>
  </si>
  <si>
    <t>Mes y año</t>
  </si>
  <si>
    <t>Potencia IMG 2</t>
  </si>
  <si>
    <t>Paga nuevo ($)</t>
  </si>
  <si>
    <t>PRI2</t>
  </si>
  <si>
    <t>Energía generada mes (kWh)</t>
  </si>
  <si>
    <t>Energia</t>
  </si>
  <si>
    <t>Porcentaje ahorro</t>
  </si>
  <si>
    <t>Cliente</t>
  </si>
  <si>
    <t>Fecha_tapa</t>
  </si>
  <si>
    <t>Dirigido</t>
  </si>
  <si>
    <t>Lugar</t>
  </si>
  <si>
    <t>Pot_paneles</t>
  </si>
  <si>
    <t>Tamaño</t>
  </si>
  <si>
    <t>Pot_IMG</t>
  </si>
  <si>
    <t>Marca_panel</t>
  </si>
  <si>
    <t>Marca_inversor= Growatt</t>
  </si>
  <si>
    <t>Pot_inversor= 6</t>
  </si>
  <si>
    <t>Pot_IMG2= 5700</t>
  </si>
  <si>
    <t>Red= Monofásico</t>
  </si>
  <si>
    <t>Precio_siniva</t>
  </si>
  <si>
    <t>Precio_coniva</t>
  </si>
  <si>
    <t>Tarifa= Doble</t>
  </si>
  <si>
    <t>Paga_UTE</t>
  </si>
  <si>
    <t>Paga_nuevo</t>
  </si>
  <si>
    <t>Ahorra</t>
  </si>
  <si>
    <t>Ahorro_mes</t>
  </si>
  <si>
    <t>Ahorro_año</t>
  </si>
  <si>
    <t>PRI</t>
  </si>
  <si>
    <t>24cuotas</t>
  </si>
  <si>
    <t>36cuotas</t>
  </si>
  <si>
    <t>60cuotas</t>
  </si>
  <si>
    <t>Potencia contratada</t>
  </si>
  <si>
    <t>COSTEO Equipamiento</t>
  </si>
  <si>
    <t>COSTOS Fijos mensual</t>
  </si>
  <si>
    <t>COSTOS Variables</t>
  </si>
  <si>
    <t>Costo/unidad (USD sin iva)</t>
  </si>
  <si>
    <t>Costo/unidad (USD con iva)</t>
  </si>
  <si>
    <t>Costo subtotal ($ sin iva)</t>
  </si>
  <si>
    <t>Costo subtotal ($ con iva)</t>
  </si>
  <si>
    <t>Adelanto IRAE</t>
  </si>
  <si>
    <t>Fletes</t>
  </si>
  <si>
    <t>Estructuras</t>
  </si>
  <si>
    <t>BPS</t>
  </si>
  <si>
    <t>Otros</t>
  </si>
  <si>
    <t>Electrica</t>
  </si>
  <si>
    <t>Dominio</t>
  </si>
  <si>
    <t>Softwares</t>
  </si>
  <si>
    <t>Alojamiento</t>
  </si>
  <si>
    <t>Meter</t>
  </si>
  <si>
    <t>Local</t>
  </si>
  <si>
    <t>Viaticos</t>
  </si>
  <si>
    <t>Contadora</t>
  </si>
  <si>
    <t>Garantia Local</t>
  </si>
  <si>
    <t>TOTAL (USD)</t>
  </si>
  <si>
    <t>Gastos fijos local</t>
  </si>
  <si>
    <t>TOTAL ($)</t>
  </si>
  <si>
    <t>Camion cuota</t>
  </si>
  <si>
    <t>Sueldos Ventas</t>
  </si>
  <si>
    <t>IVA (USD)</t>
  </si>
  <si>
    <t>Sueldo CEO</t>
  </si>
  <si>
    <t>Gastos camion</t>
  </si>
  <si>
    <t>IVA TOTAL (USD)</t>
  </si>
  <si>
    <t>Conectividad móvil</t>
  </si>
  <si>
    <t>Unidades</t>
  </si>
  <si>
    <t>sin desc</t>
  </si>
  <si>
    <t>Precio unitario (USD) sin iva</t>
  </si>
  <si>
    <t>Precio unitario (USD) iva inc</t>
  </si>
  <si>
    <t>Nota</t>
  </si>
  <si>
    <t>Rieles</t>
  </si>
  <si>
    <t>Inversores</t>
  </si>
  <si>
    <t>Presupuestos Energe</t>
  </si>
  <si>
    <t>MATERIALES ELECTRICOS</t>
  </si>
  <si>
    <t>Precio (iva inc)</t>
  </si>
  <si>
    <t>Precio/unidad</t>
  </si>
  <si>
    <t>Marca</t>
  </si>
  <si>
    <t>Horas</t>
  </si>
  <si>
    <t>Instalacion</t>
  </si>
  <si>
    <t>Interruptor Termomagnético Monofásico</t>
  </si>
  <si>
    <t>un</t>
  </si>
  <si>
    <t>MGI</t>
  </si>
  <si>
    <t>Riel 3,3</t>
  </si>
  <si>
    <t>Fajardo OFF</t>
  </si>
  <si>
    <t>Interruptor Termomagnético 3P 32 A</t>
  </si>
  <si>
    <t>Riel 3,2</t>
  </si>
  <si>
    <t>Sandro Lopez</t>
  </si>
  <si>
    <r>
      <rPr>
        <sz val="11"/>
        <color rgb="FF000000"/>
        <rFont val="Calibri"/>
        <family val="2"/>
        <scheme val="minor"/>
      </rPr>
      <t xml:space="preserve">Diferencial 40A 4P  </t>
    </r>
    <r>
      <rPr>
        <b/>
        <sz val="11"/>
        <color rgb="FF000000"/>
        <rFont val="Calibri"/>
        <family val="2"/>
        <scheme val="minor"/>
      </rPr>
      <t>300mA</t>
    </r>
  </si>
  <si>
    <t>Riel 2,2</t>
  </si>
  <si>
    <t>Stratta</t>
  </si>
  <si>
    <r>
      <rPr>
        <sz val="11"/>
        <color rgb="FF000000"/>
        <rFont val="Calibri"/>
        <family val="2"/>
        <scheme val="minor"/>
      </rPr>
      <t xml:space="preserve">Diferencial 25A Monofasica </t>
    </r>
    <r>
      <rPr>
        <b/>
        <sz val="11"/>
        <color rgb="FF000000"/>
        <rFont val="Calibri"/>
        <family val="2"/>
        <scheme val="minor"/>
      </rPr>
      <t>300mA</t>
    </r>
  </si>
  <si>
    <t>Union riel</t>
  </si>
  <si>
    <t>Wifi</t>
  </si>
  <si>
    <t>Silveira</t>
  </si>
  <si>
    <t>Poteccion Sobretension 1P 275V Clamper</t>
  </si>
  <si>
    <t>Fusible 20A ceramico</t>
  </si>
  <si>
    <t>Sujetador final</t>
  </si>
  <si>
    <t>Lebed</t>
  </si>
  <si>
    <r>
      <rPr>
        <sz val="11"/>
        <color rgb="FF000000"/>
        <rFont val="Calibri"/>
        <family val="2"/>
        <scheme val="minor"/>
      </rPr>
      <t xml:space="preserve">Base portafusible RIEL DIN  </t>
    </r>
    <r>
      <rPr>
        <b/>
        <sz val="11"/>
        <color rgb="FF000000"/>
        <rFont val="Calibri"/>
        <family val="2"/>
        <scheme val="minor"/>
      </rPr>
      <t>compatible c/fusibles</t>
    </r>
  </si>
  <si>
    <t>Fujetador inter</t>
  </si>
  <si>
    <t>Fronius</t>
  </si>
  <si>
    <t>Caño galvanizado metalico 1'' de 3mts</t>
  </si>
  <si>
    <t>Codo 90º aluminio p/caño galv. 1'' exterior</t>
  </si>
  <si>
    <t>Cupla p/caño galv. 1'' exterior</t>
  </si>
  <si>
    <t>Conector p/caño galv. 1'' exterior</t>
  </si>
  <si>
    <t>Pata L</t>
  </si>
  <si>
    <t>Meter pichi</t>
  </si>
  <si>
    <t>Grampa p/caño galvanizado 1''</t>
  </si>
  <si>
    <t>Triangulo</t>
  </si>
  <si>
    <t>Corrugado metalico 1''</t>
  </si>
  <si>
    <t>mts</t>
  </si>
  <si>
    <t>Conector caño flexible Corrugado metalico 1''</t>
  </si>
  <si>
    <r>
      <rPr>
        <sz val="11"/>
        <color rgb="FF000000"/>
        <rFont val="Calibri"/>
        <family val="2"/>
      </rPr>
      <t xml:space="preserve">Caño galvanizado metalico </t>
    </r>
    <r>
      <rPr>
        <b/>
        <sz val="11"/>
        <color rgb="FF000000"/>
        <rFont val="Calibri"/>
        <family val="2"/>
      </rPr>
      <t>1 1/4"</t>
    </r>
    <r>
      <rPr>
        <sz val="11"/>
        <color rgb="FF000000"/>
        <rFont val="Calibri"/>
        <family val="2"/>
      </rPr>
      <t xml:space="preserve"> de 3mts</t>
    </r>
  </si>
  <si>
    <r>
      <rPr>
        <sz val="11"/>
        <color rgb="FF000000"/>
        <rFont val="Calibri"/>
        <family val="2"/>
      </rPr>
      <t xml:space="preserve">Codo 90º aluminio p/caño galv. </t>
    </r>
    <r>
      <rPr>
        <b/>
        <sz val="11"/>
        <color rgb="FF000000"/>
        <rFont val="Calibri"/>
        <family val="2"/>
      </rPr>
      <t>1 1/4"</t>
    </r>
    <r>
      <rPr>
        <sz val="11"/>
        <color rgb="FF000000"/>
        <rFont val="Calibri"/>
        <family val="2"/>
      </rPr>
      <t xml:space="preserve">  exterior</t>
    </r>
  </si>
  <si>
    <r>
      <rPr>
        <sz val="11"/>
        <color rgb="FF000000"/>
        <rFont val="Calibri"/>
        <family val="2"/>
      </rPr>
      <t xml:space="preserve">Cupla p/caño galv. </t>
    </r>
    <r>
      <rPr>
        <b/>
        <sz val="11"/>
        <color rgb="FF000000"/>
        <rFont val="Calibri"/>
        <family val="2"/>
      </rPr>
      <t>1 1/4"</t>
    </r>
    <r>
      <rPr>
        <sz val="11"/>
        <color rgb="FF000000"/>
        <rFont val="Calibri"/>
        <family val="2"/>
      </rPr>
      <t xml:space="preserve"> exterior</t>
    </r>
  </si>
  <si>
    <r>
      <rPr>
        <sz val="11"/>
        <color rgb="FF000000"/>
        <rFont val="Calibri"/>
        <family val="2"/>
        <scheme val="minor"/>
      </rPr>
      <t xml:space="preserve">Conector p/caño galv. </t>
    </r>
    <r>
      <rPr>
        <b/>
        <sz val="11"/>
        <color rgb="FF000000"/>
        <rFont val="Calibri"/>
        <family val="2"/>
        <scheme val="minor"/>
      </rPr>
      <t>1 1/4"</t>
    </r>
    <r>
      <rPr>
        <sz val="11"/>
        <color rgb="FF000000"/>
        <rFont val="Calibri"/>
        <family val="2"/>
        <scheme val="minor"/>
      </rPr>
      <t xml:space="preserve"> exterior</t>
    </r>
  </si>
  <si>
    <r>
      <rPr>
        <sz val="11"/>
        <color rgb="FF000000"/>
        <rFont val="Calibri"/>
        <family val="2"/>
        <scheme val="minor"/>
      </rPr>
      <t xml:space="preserve">Grampa p/caño galvanizado </t>
    </r>
    <r>
      <rPr>
        <b/>
        <sz val="11"/>
        <color rgb="FF000000"/>
        <rFont val="Calibri"/>
        <family val="2"/>
        <scheme val="minor"/>
      </rPr>
      <t xml:space="preserve">1 1/4" </t>
    </r>
  </si>
  <si>
    <r>
      <rPr>
        <sz val="11"/>
        <color rgb="FF000000"/>
        <rFont val="Calibri"/>
        <family val="2"/>
        <scheme val="minor"/>
      </rPr>
      <t xml:space="preserve">Corrugado metalico </t>
    </r>
    <r>
      <rPr>
        <b/>
        <sz val="11"/>
        <color rgb="FF000000"/>
        <rFont val="Calibri"/>
        <family val="2"/>
        <scheme val="minor"/>
      </rPr>
      <t xml:space="preserve">1  1/4" </t>
    </r>
  </si>
  <si>
    <t>MC4</t>
  </si>
  <si>
    <r>
      <rPr>
        <sz val="11"/>
        <color rgb="FF000000"/>
        <rFont val="Calibri"/>
        <family val="2"/>
        <scheme val="minor"/>
      </rPr>
      <t xml:space="preserve">Conector caño flexible Corrugado metalico </t>
    </r>
    <r>
      <rPr>
        <b/>
        <sz val="11"/>
        <color rgb="FF000000"/>
        <rFont val="Calibri"/>
        <family val="2"/>
        <scheme val="minor"/>
      </rPr>
      <t xml:space="preserve">1  1/4" </t>
    </r>
  </si>
  <si>
    <t>Cable multifilar Celeste 4mm2</t>
  </si>
  <si>
    <t>Triangulo hormigon</t>
  </si>
  <si>
    <t>Cable multifilar Rojo 4mm2</t>
  </si>
  <si>
    <t>Loza hormigon</t>
  </si>
  <si>
    <t>Cable multifilar Marron 4mm2</t>
  </si>
  <si>
    <t>Perfil galvanizado 6 mts</t>
  </si>
  <si>
    <t>Cable multifilar Celeste 6mm2</t>
  </si>
  <si>
    <t>Cable multifilar Rojo 6mm2</t>
  </si>
  <si>
    <t>Cable multifilar Marron 6mm2</t>
  </si>
  <si>
    <t>Cable multifilar Celeste 10mm2</t>
  </si>
  <si>
    <t>Cable multifilar Rojo 10mm2</t>
  </si>
  <si>
    <t>Cable multifilar Marron 10mm2</t>
  </si>
  <si>
    <t>Cable multifilar Verde-amarillo 4mm</t>
  </si>
  <si>
    <t>Minima</t>
  </si>
  <si>
    <t>Minima 2</t>
  </si>
  <si>
    <t>Hormigon</t>
  </si>
  <si>
    <t>Cable multifilar Verde-amarillo 6mm</t>
  </si>
  <si>
    <t>Cable multifilar Verde-amarillo 10mm</t>
  </si>
  <si>
    <t>Cable superplastico 2x4mm</t>
  </si>
  <si>
    <t>Precio</t>
  </si>
  <si>
    <t>Cable superplastico 2x6mm</t>
  </si>
  <si>
    <t>Cable superplastico 2x10mm</t>
  </si>
  <si>
    <t>Bornera de paso 35mm2 riel din</t>
  </si>
  <si>
    <t>Peine Unión Bornera de paso 35mm2</t>
  </si>
  <si>
    <t>Rieles 3,3</t>
  </si>
  <si>
    <t>Jabalina PAT 2000mm x 3/4''</t>
  </si>
  <si>
    <t>Morseto p/jabalina</t>
  </si>
  <si>
    <t>PG 9</t>
  </si>
  <si>
    <t>PG 11</t>
  </si>
  <si>
    <t>PG 13,5</t>
  </si>
  <si>
    <t>PG 16</t>
  </si>
  <si>
    <t>PG 21</t>
  </si>
  <si>
    <t xml:space="preserve">Terminal Ojal p/cable 4mm2 </t>
  </si>
  <si>
    <t>Sujetador inter</t>
  </si>
  <si>
    <t xml:space="preserve">Terminal Pino p/cable 4mm2 </t>
  </si>
  <si>
    <t xml:space="preserve">Terminal Pino p/cable 6mm2 </t>
  </si>
  <si>
    <t>TABLERO PVC EXT IP65 16 MOD P/GRIS PD551</t>
  </si>
  <si>
    <t>TABLERO PVC EXT 8 MODULOS IP65 FM 3908-T</t>
  </si>
  <si>
    <t>Caja ciega PVC rectangular estanca 12x16x10</t>
  </si>
  <si>
    <t>Bornera de tierra 7 tornillos RIEL DIN</t>
  </si>
  <si>
    <t>Cable UTP por metro</t>
  </si>
  <si>
    <t>Precintos 20cm</t>
  </si>
  <si>
    <t xml:space="preserve">un </t>
  </si>
  <si>
    <t>P/Panel</t>
  </si>
  <si>
    <t>Tornillo Philips de 6</t>
  </si>
  <si>
    <t>Tornillo Philips de 8</t>
  </si>
  <si>
    <t>Tornillo Philips de 10</t>
  </si>
  <si>
    <t>Taco de 6 c/tope x 100</t>
  </si>
  <si>
    <t>Taco de 8 x 100</t>
  </si>
  <si>
    <t>Coplanar</t>
  </si>
  <si>
    <t>Simple</t>
  </si>
  <si>
    <t>Taco de 10 x 100u</t>
  </si>
  <si>
    <t>trifásico</t>
  </si>
  <si>
    <t>Tornillo chico PAT</t>
  </si>
  <si>
    <t>Casa del tornillo</t>
  </si>
  <si>
    <t>En tierra</t>
  </si>
  <si>
    <t>Triple</t>
  </si>
  <si>
    <t>Tuerca chica PAT</t>
  </si>
  <si>
    <t>Isopanel</t>
  </si>
  <si>
    <t>Arandela chica PAT</t>
  </si>
  <si>
    <t>Cable solar 2x4mm</t>
  </si>
  <si>
    <t>Tiempo al Tiempo</t>
  </si>
  <si>
    <t>Descargador sobretensión DC, 600V, 2P</t>
  </si>
  <si>
    <t>Descargador sobretensión AC, 275V, 2P</t>
  </si>
  <si>
    <t>Conector MC4-CON Juego macho/hembra</t>
  </si>
  <si>
    <t>Necesidad paneles</t>
  </si>
  <si>
    <t>Paneles sobrantes</t>
  </si>
  <si>
    <t>Precio subtotal (USD) sin IVA</t>
  </si>
  <si>
    <t>Precio subtotal (USD) iva inc</t>
  </si>
  <si>
    <t>Interruptor Termomagnético 25A</t>
  </si>
  <si>
    <t>Interruptor Termomagnético 32A</t>
  </si>
  <si>
    <r>
      <rPr>
        <sz val="11"/>
        <color rgb="FF000000"/>
        <rFont val="Calibri"/>
        <family val="2"/>
        <scheme val="minor"/>
      </rPr>
      <t xml:space="preserve">Diferencial 40A </t>
    </r>
    <r>
      <rPr>
        <b/>
        <sz val="11"/>
        <color rgb="FF000000"/>
        <rFont val="Calibri"/>
        <family val="2"/>
        <scheme val="minor"/>
      </rPr>
      <t>300mA</t>
    </r>
  </si>
  <si>
    <t>Caño galvanizado 1'' de 3mts</t>
  </si>
  <si>
    <t>Codos galvanizados 1''</t>
  </si>
  <si>
    <t>Cupla galvanizada 1''</t>
  </si>
  <si>
    <t>Conector corrugado metalico 1''</t>
  </si>
  <si>
    <t>Conector p/caño galv. 1 1/4'' exterior</t>
  </si>
  <si>
    <t>Caño galvanizado 1 1/4'' de 3mts</t>
  </si>
  <si>
    <t>Codos galvanizados 1 1/4''</t>
  </si>
  <si>
    <t>Cupla galvanizada p/corrugado metalico 1 1/4''</t>
  </si>
  <si>
    <t>Grampa p/caño galvanizado 1 1/4''</t>
  </si>
  <si>
    <t>Corrugado metalico 1 1/4''</t>
  </si>
  <si>
    <t>Conector corrugado metalico 1 1/4''</t>
  </si>
  <si>
    <t>Cable superplastico 2x16mm</t>
  </si>
  <si>
    <t>Cable multifilar Marron/blanco 6mm2</t>
  </si>
  <si>
    <t>Cable multifilar (TIERRA) Verde-amarillo 4mm</t>
  </si>
  <si>
    <t>Cable multifilar (TIERRA) Verde-amarillo 6mm</t>
  </si>
  <si>
    <t>Cable multifilar (TIERRA) Verde-amarillo 10mm</t>
  </si>
  <si>
    <t>Cable multifilar Marron/blanco 10mm2</t>
  </si>
  <si>
    <t>Cable multifilar Marron/blanco 16mm2</t>
  </si>
  <si>
    <t>Cable multifilar Celeste 16mm2</t>
  </si>
  <si>
    <t>Cable multifilar Rojo 16mm2</t>
  </si>
  <si>
    <t>Terminal Ojal p/cable 4mm2</t>
  </si>
  <si>
    <t>Caño PVC 40mm 3mts</t>
  </si>
  <si>
    <t>Codo caño PVC de 40</t>
  </si>
  <si>
    <t>Interruptor DC 25A</t>
  </si>
  <si>
    <t>Interruptor DC 32A</t>
  </si>
  <si>
    <t>Tablero estanco exterior 18 MOD</t>
  </si>
  <si>
    <t>Tablero estanco exterior 12 MOD</t>
  </si>
  <si>
    <t>Tablero estanco exterior 7 MOD</t>
  </si>
  <si>
    <t>Anclaje isopanel c/goma</t>
  </si>
  <si>
    <t>Anclaje isopanel grueso</t>
  </si>
  <si>
    <t>Cablos solar 4mm multifilar negro</t>
  </si>
  <si>
    <t>SES</t>
  </si>
  <si>
    <t>Cablos solar 4mm multifilar rojo</t>
  </si>
  <si>
    <t>MATERIALES ESTRUCTURAS</t>
  </si>
  <si>
    <t>Riel panel H 4,2 mts</t>
  </si>
  <si>
    <t>Riel panel chato 3,6</t>
  </si>
  <si>
    <t>Unión Riel  H</t>
  </si>
  <si>
    <t>Union Riel chato</t>
  </si>
  <si>
    <t>Sujetador final panel</t>
  </si>
  <si>
    <t>Sujetador intermedio</t>
  </si>
  <si>
    <t>Perfiles L Aluminio</t>
  </si>
  <si>
    <t>Perimetral</t>
  </si>
  <si>
    <t>Encargado</t>
  </si>
  <si>
    <t>Pagado</t>
  </si>
  <si>
    <t>Levantado</t>
  </si>
  <si>
    <t>Perfiles galvanizados de 8</t>
  </si>
  <si>
    <t>BECAM</t>
  </si>
  <si>
    <t>Sustentables</t>
  </si>
  <si>
    <t>Perfiles galvanizados de 10</t>
  </si>
  <si>
    <t>Hormigón Barraca</t>
  </si>
  <si>
    <t>Barraca</t>
  </si>
  <si>
    <t>Tornillo punta mecha cabeza exagonal 12x1</t>
  </si>
  <si>
    <t>Tornillo punta mecha cabeza exagonal 12x1 1/2</t>
  </si>
  <si>
    <t>Tornillo punta mecha cabeza exagonal 12x2</t>
  </si>
  <si>
    <t>Tornillo punta mecha cabeza exagonal 14x3</t>
  </si>
  <si>
    <t>Tornillo T1 punta mecha</t>
  </si>
  <si>
    <t>Silicona neutra</t>
  </si>
  <si>
    <t>Sellador acrilico</t>
  </si>
  <si>
    <t>Disco corte amoladora</t>
  </si>
  <si>
    <t>MATERIALES SOLARES</t>
  </si>
  <si>
    <t>Inversor Growatt Hibrido MIN 6000 TL-XH</t>
  </si>
  <si>
    <t>Shine WiFi-X para inversor Growatt</t>
  </si>
  <si>
    <t>SPM Medidor monofásico Growatt</t>
  </si>
  <si>
    <t>Inversor Growatt 3kW monofásico</t>
  </si>
  <si>
    <t>Inversor Growatt 6kW monofásico</t>
  </si>
  <si>
    <t>Inversor Growatt 10kW monofásico c/Wifi</t>
  </si>
  <si>
    <t>Inversor Growatt 10 kW Trifasico 230</t>
  </si>
  <si>
    <t>Inversor Growatt 12 kW Trifasico 230</t>
  </si>
  <si>
    <t>Inversor Growatt 20 kW Trifasico 230</t>
  </si>
  <si>
    <t>Inversor Growatt 30 kW Trifasico 230</t>
  </si>
  <si>
    <t>Inversor Growatt 10 kW Trifasico 400</t>
  </si>
  <si>
    <t>Inversor Growatt 12 kW Trifasico 400</t>
  </si>
  <si>
    <t>Inversor Growatt 20 kW Trifasico 400</t>
  </si>
  <si>
    <t>Inversor Growatt 30 kW Trifasico 400</t>
  </si>
  <si>
    <t>Inversor Growatt 50 kW Trifasico 230</t>
  </si>
  <si>
    <t>Shine WiFi-X para inversor Growatt trifasico</t>
  </si>
  <si>
    <t>TPM Medidor trifásico Growatt</t>
  </si>
  <si>
    <t>Inversor Growatt Hibrido MIN 4200 TL-XH</t>
  </si>
  <si>
    <t>Inversor Growatt Hibrido MIN 10000 TL-XH</t>
  </si>
  <si>
    <t>Paneles 570W</t>
  </si>
  <si>
    <t>Tasa</t>
  </si>
  <si>
    <t>Cuotas</t>
  </si>
  <si>
    <t>Valor UI</t>
  </si>
  <si>
    <t>Valor USD</t>
  </si>
  <si>
    <t>Gastos admin</t>
  </si>
  <si>
    <t>Capital liquido</t>
  </si>
  <si>
    <t>Capital total</t>
  </si>
  <si>
    <t>Gastos admin 2</t>
  </si>
  <si>
    <t>Cuota sin</t>
  </si>
  <si>
    <t>Cuota final</t>
  </si>
  <si>
    <t>Entrada</t>
  </si>
  <si>
    <t>Salida</t>
  </si>
  <si>
    <t>Adelanto 50%</t>
  </si>
  <si>
    <t>Otros (ferreteria, nafta, flete, etc)</t>
  </si>
  <si>
    <t>Leo Instalación</t>
  </si>
  <si>
    <t>Instalación y relevamiento</t>
  </si>
  <si>
    <t xml:space="preserve">Mauri Instalación </t>
  </si>
  <si>
    <t>Impuestos</t>
  </si>
  <si>
    <t>Nico -Jorge Instalación</t>
  </si>
  <si>
    <t>Saldo 50%</t>
  </si>
  <si>
    <t>Ganancia</t>
  </si>
  <si>
    <t>Materiales Electricos</t>
  </si>
  <si>
    <t>Comida viaje</t>
  </si>
  <si>
    <t>Ferreteria</t>
  </si>
  <si>
    <t>Instaladores</t>
  </si>
  <si>
    <t>Peajes</t>
  </si>
  <si>
    <t>Agua</t>
  </si>
  <si>
    <t>Total</t>
  </si>
  <si>
    <t>RESUN</t>
  </si>
  <si>
    <t>José González</t>
  </si>
  <si>
    <t>Estimado José</t>
  </si>
  <si>
    <t>Julio 2026</t>
  </si>
  <si>
    <t>de hormigón de 8 x 4 mts.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</si>
</sst>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\ _€_-;\-* #,##0.0\ _€_-;_-* &quot;-&quot;?\ _€_-;_-@_-"/>
    <numFmt numFmtId="168" formatCode="0.0%"/>
    <numFmt numFmtId="169" formatCode="_-* #,##0\ _€_-;\-* #,##0\ _€_-;_-* &quot;-&quot;?\ _€_-;_-@_-"/>
    <numFmt numFmtId="170" formatCode="0.000"/>
    <numFmt numFmtId="171" formatCode="_-* #,##0.0000\ _€_-;\-* #,##0.0000\ _€_-;_-* &quot;-&quot;?\ _€_-;_-@_-"/>
    <numFmt numFmtId="172" formatCode="_-* #,##0.0_-;\-* #,##0.0_-;_-* &quot;-&quot;?_-;_-@_-"/>
    <numFmt numFmtId="173" formatCode="_-* #,##0.000_-;\-* #,##0.000_-;_-* &quot;-&quot;?_-;_-@_-"/>
    <numFmt numFmtId="174" formatCode="#,##0.0"/>
    <numFmt numFmtId="175" formatCode="[$-C0A]d\ &quot;de&quot;\ mmmm\ &quot;de&quot;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7">
    <xf numFmtId="0" fontId="0" fillId="0" borderId="0" xfId="0"/>
    <xf numFmtId="0" fontId="2" fillId="2" borderId="4" xfId="0" applyFont="1" applyFill="1" applyBorder="1"/>
    <xf numFmtId="0" fontId="2" fillId="4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5" borderId="10" xfId="0" applyFill="1" applyBorder="1"/>
    <xf numFmtId="0" fontId="0" fillId="5" borderId="12" xfId="0" applyFill="1" applyBorder="1"/>
    <xf numFmtId="0" fontId="0" fillId="5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167" fontId="2" fillId="7" borderId="2" xfId="0" applyNumberFormat="1" applyFont="1" applyFill="1" applyBorder="1"/>
    <xf numFmtId="167" fontId="2" fillId="5" borderId="2" xfId="0" applyNumberFormat="1" applyFont="1" applyFill="1" applyBorder="1"/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4" borderId="17" xfId="0" applyFont="1" applyFill="1" applyBorder="1" applyAlignment="1">
      <alignment horizontal="center" vertical="center" wrapText="1"/>
    </xf>
    <xf numFmtId="167" fontId="0" fillId="5" borderId="11" xfId="0" applyNumberFormat="1" applyFill="1" applyBorder="1"/>
    <xf numFmtId="167" fontId="0" fillId="5" borderId="14" xfId="0" applyNumberFormat="1" applyFill="1" applyBorder="1"/>
    <xf numFmtId="0" fontId="2" fillId="8" borderId="7" xfId="0" applyFont="1" applyFill="1" applyBorder="1"/>
    <xf numFmtId="167" fontId="2" fillId="8" borderId="9" xfId="0" applyNumberFormat="1" applyFont="1" applyFill="1" applyBorder="1" applyAlignment="1">
      <alignment horizontal="center" vertical="center"/>
    </xf>
    <xf numFmtId="0" fontId="2" fillId="8" borderId="10" xfId="0" applyFont="1" applyFill="1" applyBorder="1"/>
    <xf numFmtId="167" fontId="2" fillId="8" borderId="11" xfId="0" applyNumberFormat="1" applyFont="1" applyFill="1" applyBorder="1" applyAlignment="1">
      <alignment horizontal="center" vertical="center"/>
    </xf>
    <xf numFmtId="0" fontId="2" fillId="8" borderId="12" xfId="0" applyFont="1" applyFill="1" applyBorder="1"/>
    <xf numFmtId="0" fontId="2" fillId="8" borderId="4" xfId="0" applyFont="1" applyFill="1" applyBorder="1"/>
    <xf numFmtId="167" fontId="2" fillId="8" borderId="3" xfId="0" applyNumberFormat="1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0" fillId="7" borderId="10" xfId="0" applyFill="1" applyBorder="1"/>
    <xf numFmtId="165" fontId="0" fillId="7" borderId="11" xfId="1" applyNumberFormat="1" applyFont="1" applyFill="1" applyBorder="1" applyAlignment="1">
      <alignment horizontal="center"/>
    </xf>
    <xf numFmtId="0" fontId="0" fillId="7" borderId="12" xfId="0" applyFill="1" applyBorder="1"/>
    <xf numFmtId="0" fontId="0" fillId="7" borderId="14" xfId="0" applyFill="1" applyBorder="1"/>
    <xf numFmtId="9" fontId="2" fillId="8" borderId="9" xfId="2" applyFont="1" applyFill="1" applyBorder="1" applyAlignment="1">
      <alignment horizontal="center" vertical="center"/>
    </xf>
    <xf numFmtId="0" fontId="2" fillId="8" borderId="19" xfId="0" applyFont="1" applyFill="1" applyBorder="1"/>
    <xf numFmtId="0" fontId="2" fillId="9" borderId="7" xfId="0" applyFont="1" applyFill="1" applyBorder="1"/>
    <xf numFmtId="166" fontId="0" fillId="9" borderId="9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2" fillId="9" borderId="10" xfId="0" applyFont="1" applyFill="1" applyBorder="1"/>
    <xf numFmtId="166" fontId="0" fillId="9" borderId="11" xfId="1" applyNumberFormat="1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/>
    </xf>
    <xf numFmtId="0" fontId="2" fillId="9" borderId="12" xfId="0" applyFont="1" applyFill="1" applyBorder="1"/>
    <xf numFmtId="166" fontId="0" fillId="9" borderId="14" xfId="1" applyNumberFormat="1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0" fillId="11" borderId="0" xfId="0" applyFill="1"/>
    <xf numFmtId="0" fontId="2" fillId="3" borderId="2" xfId="0" applyFont="1" applyFill="1" applyBorder="1" applyAlignment="1" applyProtection="1">
      <alignment horizontal="center"/>
      <protection locked="0"/>
    </xf>
    <xf numFmtId="9" fontId="2" fillId="3" borderId="2" xfId="2" applyFont="1" applyFill="1" applyBorder="1" applyAlignment="1" applyProtection="1">
      <alignment horizontal="center"/>
      <protection locked="0"/>
    </xf>
    <xf numFmtId="0" fontId="2" fillId="8" borderId="2" xfId="0" applyFont="1" applyFill="1" applyBorder="1"/>
    <xf numFmtId="168" fontId="2" fillId="8" borderId="14" xfId="2" applyNumberFormat="1" applyFont="1" applyFill="1" applyBorder="1" applyAlignment="1">
      <alignment horizontal="center"/>
    </xf>
    <xf numFmtId="2" fontId="0" fillId="0" borderId="0" xfId="0" applyNumberFormat="1"/>
    <xf numFmtId="168" fontId="0" fillId="0" borderId="0" xfId="2" applyNumberFormat="1" applyFont="1"/>
    <xf numFmtId="0" fontId="0" fillId="0" borderId="1" xfId="0" applyBorder="1"/>
    <xf numFmtId="165" fontId="0" fillId="12" borderId="1" xfId="1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vertical="center" wrapText="1"/>
    </xf>
    <xf numFmtId="166" fontId="0" fillId="12" borderId="1" xfId="1" applyNumberFormat="1" applyFont="1" applyFill="1" applyBorder="1" applyAlignment="1">
      <alignment horizontal="center"/>
    </xf>
    <xf numFmtId="1" fontId="0" fillId="0" borderId="1" xfId="0" applyNumberFormat="1" applyBorder="1"/>
    <xf numFmtId="168" fontId="3" fillId="13" borderId="1" xfId="2" applyNumberFormat="1" applyFont="1" applyFill="1" applyBorder="1" applyAlignment="1">
      <alignment vertical="center"/>
    </xf>
    <xf numFmtId="169" fontId="2" fillId="3" borderId="11" xfId="0" applyNumberFormat="1" applyFont="1" applyFill="1" applyBorder="1" applyAlignment="1" applyProtection="1">
      <alignment horizontal="center" vertical="center"/>
      <protection locked="0"/>
    </xf>
    <xf numFmtId="168" fontId="2" fillId="8" borderId="3" xfId="2" applyNumberFormat="1" applyFont="1" applyFill="1" applyBorder="1" applyAlignment="1">
      <alignment horizontal="center" vertical="center"/>
    </xf>
    <xf numFmtId="0" fontId="2" fillId="0" borderId="1" xfId="0" applyFont="1" applyBorder="1"/>
    <xf numFmtId="2" fontId="0" fillId="0" borderId="1" xfId="0" applyNumberFormat="1" applyBorder="1"/>
    <xf numFmtId="170" fontId="0" fillId="0" borderId="1" xfId="0" applyNumberFormat="1" applyBorder="1"/>
    <xf numFmtId="0" fontId="2" fillId="14" borderId="7" xfId="0" applyFont="1" applyFill="1" applyBorder="1"/>
    <xf numFmtId="0" fontId="2" fillId="14" borderId="9" xfId="0" applyFont="1" applyFill="1" applyBorder="1"/>
    <xf numFmtId="0" fontId="2" fillId="14" borderId="10" xfId="0" applyFont="1" applyFill="1" applyBorder="1"/>
    <xf numFmtId="0" fontId="2" fillId="14" borderId="11" xfId="0" applyFont="1" applyFill="1" applyBorder="1"/>
    <xf numFmtId="0" fontId="2" fillId="15" borderId="7" xfId="0" applyFont="1" applyFill="1" applyBorder="1"/>
    <xf numFmtId="0" fontId="2" fillId="15" borderId="9" xfId="0" applyFont="1" applyFill="1" applyBorder="1"/>
    <xf numFmtId="10" fontId="0" fillId="0" borderId="0" xfId="2" applyNumberFormat="1" applyFont="1"/>
    <xf numFmtId="0" fontId="0" fillId="15" borderId="10" xfId="0" applyFill="1" applyBorder="1"/>
    <xf numFmtId="0" fontId="0" fillId="15" borderId="11" xfId="0" applyFill="1" applyBorder="1"/>
    <xf numFmtId="1" fontId="2" fillId="9" borderId="2" xfId="2" applyNumberFormat="1" applyFont="1" applyFill="1" applyBorder="1" applyAlignment="1">
      <alignment horizontal="center"/>
    </xf>
    <xf numFmtId="10" fontId="2" fillId="14" borderId="11" xfId="2" applyNumberFormat="1" applyFont="1" applyFill="1" applyBorder="1"/>
    <xf numFmtId="9" fontId="0" fillId="0" borderId="0" xfId="2" applyFont="1"/>
    <xf numFmtId="9" fontId="2" fillId="14" borderId="11" xfId="2" applyFont="1" applyFill="1" applyBorder="1"/>
    <xf numFmtId="3" fontId="2" fillId="9" borderId="11" xfId="0" applyNumberFormat="1" applyFont="1" applyFill="1" applyBorder="1" applyAlignment="1">
      <alignment horizontal="center"/>
    </xf>
    <xf numFmtId="0" fontId="2" fillId="14" borderId="12" xfId="0" applyFont="1" applyFill="1" applyBorder="1"/>
    <xf numFmtId="0" fontId="2" fillId="14" borderId="14" xfId="0" applyFont="1" applyFill="1" applyBorder="1"/>
    <xf numFmtId="3" fontId="2" fillId="9" borderId="25" xfId="0" applyNumberFormat="1" applyFont="1" applyFill="1" applyBorder="1" applyAlignment="1">
      <alignment horizontal="center"/>
    </xf>
    <xf numFmtId="0" fontId="0" fillId="15" borderId="12" xfId="0" applyFill="1" applyBorder="1"/>
    <xf numFmtId="0" fontId="0" fillId="15" borderId="14" xfId="0" applyFill="1" applyBorder="1"/>
    <xf numFmtId="3" fontId="3" fillId="16" borderId="9" xfId="0" applyNumberFormat="1" applyFont="1" applyFill="1" applyBorder="1" applyAlignment="1">
      <alignment horizontal="center"/>
    </xf>
    <xf numFmtId="2" fontId="3" fillId="16" borderId="14" xfId="0" applyNumberFormat="1" applyFont="1" applyFill="1" applyBorder="1" applyAlignment="1">
      <alignment horizontal="center"/>
    </xf>
    <xf numFmtId="1" fontId="2" fillId="9" borderId="24" xfId="2" applyNumberFormat="1" applyFont="1" applyFill="1" applyBorder="1" applyAlignment="1">
      <alignment horizontal="center"/>
    </xf>
    <xf numFmtId="164" fontId="2" fillId="9" borderId="2" xfId="2" applyNumberFormat="1" applyFont="1" applyFill="1" applyBorder="1" applyAlignment="1">
      <alignment horizont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" fillId="6" borderId="34" xfId="0" applyFont="1" applyFill="1" applyBorder="1" applyAlignment="1">
      <alignment horizontal="center" vertical="center" wrapText="1"/>
    </xf>
    <xf numFmtId="167" fontId="2" fillId="7" borderId="34" xfId="0" applyNumberFormat="1" applyFont="1" applyFill="1" applyBorder="1"/>
    <xf numFmtId="0" fontId="0" fillId="7" borderId="7" xfId="0" applyFill="1" applyBorder="1"/>
    <xf numFmtId="167" fontId="0" fillId="7" borderId="9" xfId="0" applyNumberFormat="1" applyFill="1" applyBorder="1"/>
    <xf numFmtId="167" fontId="0" fillId="7" borderId="11" xfId="0" applyNumberFormat="1" applyFill="1" applyBorder="1"/>
    <xf numFmtId="167" fontId="0" fillId="7" borderId="14" xfId="0" applyNumberFormat="1" applyFill="1" applyBorder="1"/>
    <xf numFmtId="169" fontId="2" fillId="3" borderId="2" xfId="0" applyNumberFormat="1" applyFont="1" applyFill="1" applyBorder="1" applyAlignment="1" applyProtection="1">
      <alignment horizontal="center" vertical="center"/>
      <protection locked="0"/>
    </xf>
    <xf numFmtId="169" fontId="2" fillId="3" borderId="34" xfId="0" applyNumberFormat="1" applyFont="1" applyFill="1" applyBorder="1"/>
    <xf numFmtId="167" fontId="0" fillId="0" borderId="0" xfId="0" applyNumberFormat="1"/>
    <xf numFmtId="0" fontId="2" fillId="7" borderId="10" xfId="0" applyFont="1" applyFill="1" applyBorder="1"/>
    <xf numFmtId="167" fontId="2" fillId="7" borderId="11" xfId="0" applyNumberFormat="1" applyFont="1" applyFill="1" applyBorder="1"/>
    <xf numFmtId="167" fontId="2" fillId="4" borderId="4" xfId="0" applyNumberFormat="1" applyFont="1" applyFill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0" fontId="0" fillId="18" borderId="1" xfId="0" applyFill="1" applyBorder="1"/>
    <xf numFmtId="169" fontId="0" fillId="18" borderId="1" xfId="0" applyNumberFormat="1" applyFill="1" applyBorder="1"/>
    <xf numFmtId="169" fontId="2" fillId="18" borderId="1" xfId="0" applyNumberFormat="1" applyFont="1" applyFill="1" applyBorder="1"/>
    <xf numFmtId="167" fontId="0" fillId="18" borderId="1" xfId="0" applyNumberFormat="1" applyFill="1" applyBorder="1"/>
    <xf numFmtId="167" fontId="3" fillId="13" borderId="1" xfId="0" applyNumberFormat="1" applyFont="1" applyFill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0" fillId="0" borderId="1" xfId="0" applyBorder="1" applyAlignment="1">
      <alignment wrapText="1"/>
    </xf>
    <xf numFmtId="171" fontId="0" fillId="0" borderId="0" xfId="0" applyNumberFormat="1"/>
    <xf numFmtId="2" fontId="0" fillId="0" borderId="0" xfId="2" applyNumberFormat="1" applyFont="1"/>
    <xf numFmtId="0" fontId="2" fillId="0" borderId="36" xfId="0" applyFont="1" applyBorder="1"/>
    <xf numFmtId="0" fontId="2" fillId="0" borderId="37" xfId="0" applyFont="1" applyBorder="1" applyAlignment="1">
      <alignment horizontal="center"/>
    </xf>
    <xf numFmtId="173" fontId="0" fillId="0" borderId="0" xfId="0" applyNumberFormat="1"/>
    <xf numFmtId="2" fontId="2" fillId="0" borderId="37" xfId="0" applyNumberFormat="1" applyFont="1" applyBorder="1"/>
    <xf numFmtId="17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/>
    <xf numFmtId="0" fontId="2" fillId="2" borderId="0" xfId="0" applyFont="1" applyFill="1"/>
    <xf numFmtId="0" fontId="0" fillId="5" borderId="38" xfId="0" applyFill="1" applyBorder="1"/>
    <xf numFmtId="167" fontId="0" fillId="5" borderId="25" xfId="0" applyNumberFormat="1" applyFill="1" applyBorder="1"/>
    <xf numFmtId="0" fontId="0" fillId="7" borderId="38" xfId="0" applyFill="1" applyBorder="1"/>
    <xf numFmtId="167" fontId="0" fillId="7" borderId="25" xfId="0" applyNumberFormat="1" applyFill="1" applyBorder="1"/>
    <xf numFmtId="164" fontId="0" fillId="5" borderId="1" xfId="0" applyNumberFormat="1" applyFill="1" applyBorder="1" applyAlignment="1">
      <alignment horizontal="center"/>
    </xf>
    <xf numFmtId="3" fontId="0" fillId="0" borderId="0" xfId="0" applyNumberFormat="1"/>
    <xf numFmtId="164" fontId="0" fillId="5" borderId="15" xfId="0" applyNumberFormat="1" applyFill="1" applyBorder="1" applyAlignment="1">
      <alignment horizontal="center"/>
    </xf>
    <xf numFmtId="0" fontId="2" fillId="20" borderId="39" xfId="0" applyFont="1" applyFill="1" applyBorder="1" applyAlignment="1">
      <alignment horizontal="center" vertical="center"/>
    </xf>
    <xf numFmtId="0" fontId="2" fillId="20" borderId="39" xfId="0" applyFont="1" applyFill="1" applyBorder="1" applyAlignment="1">
      <alignment horizontal="center" vertical="center" wrapText="1"/>
    </xf>
    <xf numFmtId="0" fontId="2" fillId="20" borderId="39" xfId="0" applyFont="1" applyFill="1" applyBorder="1" applyAlignment="1">
      <alignment horizontal="center"/>
    </xf>
    <xf numFmtId="0" fontId="0" fillId="3" borderId="39" xfId="0" applyFill="1" applyBorder="1"/>
    <xf numFmtId="0" fontId="0" fillId="3" borderId="39" xfId="0" applyFill="1" applyBorder="1" applyAlignment="1">
      <alignment horizontal="center"/>
    </xf>
    <xf numFmtId="2" fontId="0" fillId="3" borderId="39" xfId="0" applyNumberFormat="1" applyFill="1" applyBorder="1"/>
    <xf numFmtId="1" fontId="0" fillId="3" borderId="39" xfId="0" applyNumberFormat="1" applyFill="1" applyBorder="1" applyAlignment="1">
      <alignment horizontal="center"/>
    </xf>
    <xf numFmtId="0" fontId="0" fillId="0" borderId="39" xfId="0" applyBorder="1"/>
    <xf numFmtId="0" fontId="5" fillId="3" borderId="39" xfId="0" applyFont="1" applyFill="1" applyBorder="1"/>
    <xf numFmtId="0" fontId="8" fillId="3" borderId="39" xfId="0" applyFont="1" applyFill="1" applyBorder="1"/>
    <xf numFmtId="0" fontId="8" fillId="22" borderId="39" xfId="0" applyFont="1" applyFill="1" applyBorder="1"/>
    <xf numFmtId="0" fontId="0" fillId="22" borderId="39" xfId="0" applyFill="1" applyBorder="1" applyAlignment="1">
      <alignment horizontal="center"/>
    </xf>
    <xf numFmtId="2" fontId="0" fillId="22" borderId="39" xfId="0" applyNumberFormat="1" applyFill="1" applyBorder="1"/>
    <xf numFmtId="0" fontId="0" fillId="22" borderId="39" xfId="0" applyFill="1" applyBorder="1"/>
    <xf numFmtId="0" fontId="0" fillId="22" borderId="39" xfId="0" applyFill="1" applyBorder="1" applyAlignment="1">
      <alignment horizontal="center" vertical="center"/>
    </xf>
    <xf numFmtId="2" fontId="0" fillId="12" borderId="39" xfId="0" applyNumberFormat="1" applyFill="1" applyBorder="1"/>
    <xf numFmtId="1" fontId="2" fillId="19" borderId="39" xfId="0" applyNumberFormat="1" applyFont="1" applyFill="1" applyBorder="1"/>
    <xf numFmtId="1" fontId="2" fillId="12" borderId="39" xfId="0" applyNumberFormat="1" applyFont="1" applyFill="1" applyBorder="1"/>
    <xf numFmtId="0" fontId="0" fillId="12" borderId="39" xfId="0" applyFill="1" applyBorder="1"/>
    <xf numFmtId="0" fontId="0" fillId="23" borderId="39" xfId="0" applyFill="1" applyBorder="1" applyAlignment="1">
      <alignment horizontal="center"/>
    </xf>
    <xf numFmtId="0" fontId="0" fillId="23" borderId="39" xfId="0" applyFill="1" applyBorder="1"/>
    <xf numFmtId="0" fontId="0" fillId="19" borderId="39" xfId="0" applyFill="1" applyBorder="1" applyAlignment="1">
      <alignment horizontal="center"/>
    </xf>
    <xf numFmtId="164" fontId="0" fillId="22" borderId="39" xfId="0" applyNumberFormat="1" applyFill="1" applyBorder="1"/>
    <xf numFmtId="3" fontId="2" fillId="19" borderId="39" xfId="0" applyNumberFormat="1" applyFont="1" applyFill="1" applyBorder="1"/>
    <xf numFmtId="3" fontId="2" fillId="23" borderId="39" xfId="0" applyNumberFormat="1" applyFont="1" applyFill="1" applyBorder="1"/>
    <xf numFmtId="0" fontId="0" fillId="20" borderId="39" xfId="0" applyFill="1" applyBorder="1"/>
    <xf numFmtId="0" fontId="0" fillId="20" borderId="39" xfId="0" applyFill="1" applyBorder="1" applyAlignment="1">
      <alignment horizontal="center"/>
    </xf>
    <xf numFmtId="2" fontId="0" fillId="20" borderId="39" xfId="0" applyNumberFormat="1" applyFill="1" applyBorder="1"/>
    <xf numFmtId="0" fontId="0" fillId="20" borderId="39" xfId="0" applyFill="1" applyBorder="1" applyAlignment="1">
      <alignment horizontal="center" vertical="center"/>
    </xf>
    <xf numFmtId="3" fontId="0" fillId="0" borderId="39" xfId="0" applyNumberFormat="1" applyBorder="1" applyAlignment="1">
      <alignment horizontal="center"/>
    </xf>
    <xf numFmtId="3" fontId="0" fillId="0" borderId="39" xfId="0" applyNumberFormat="1" applyBorder="1"/>
    <xf numFmtId="0" fontId="2" fillId="24" borderId="1" xfId="0" applyFont="1" applyFill="1" applyBorder="1"/>
    <xf numFmtId="0" fontId="2" fillId="21" borderId="1" xfId="0" applyFont="1" applyFill="1" applyBorder="1"/>
    <xf numFmtId="3" fontId="0" fillId="25" borderId="1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0" fontId="0" fillId="5" borderId="1" xfId="0" applyFill="1" applyBorder="1"/>
    <xf numFmtId="3" fontId="0" fillId="5" borderId="1" xfId="0" applyNumberFormat="1" applyFill="1" applyBorder="1" applyAlignment="1">
      <alignment horizontal="center"/>
    </xf>
    <xf numFmtId="3" fontId="2" fillId="25" borderId="1" xfId="0" applyNumberFormat="1" applyFont="1" applyFill="1" applyBorder="1" applyAlignment="1">
      <alignment horizontal="center" vertical="center"/>
    </xf>
    <xf numFmtId="3" fontId="2" fillId="26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2" fillId="5" borderId="1" xfId="0" applyNumberFormat="1" applyFont="1" applyFill="1" applyBorder="1" applyAlignment="1">
      <alignment horizontal="center"/>
    </xf>
    <xf numFmtId="0" fontId="2" fillId="27" borderId="15" xfId="0" applyFont="1" applyFill="1" applyBorder="1"/>
    <xf numFmtId="3" fontId="2" fillId="0" borderId="1" xfId="0" applyNumberFormat="1" applyFont="1" applyBorder="1"/>
    <xf numFmtId="0" fontId="0" fillId="3" borderId="39" xfId="0" applyFill="1" applyBorder="1" applyAlignment="1">
      <alignment horizontal="center" vertical="center"/>
    </xf>
    <xf numFmtId="1" fontId="0" fillId="0" borderId="15" xfId="0" applyNumberFormat="1" applyBorder="1"/>
    <xf numFmtId="3" fontId="0" fillId="0" borderId="15" xfId="0" applyNumberFormat="1" applyBorder="1"/>
    <xf numFmtId="0" fontId="7" fillId="28" borderId="39" xfId="0" applyFont="1" applyFill="1" applyBorder="1"/>
    <xf numFmtId="0" fontId="7" fillId="28" borderId="39" xfId="0" applyFont="1" applyFill="1" applyBorder="1" applyAlignment="1">
      <alignment horizontal="center"/>
    </xf>
    <xf numFmtId="2" fontId="7" fillId="28" borderId="39" xfId="0" applyNumberFormat="1" applyFont="1" applyFill="1" applyBorder="1"/>
    <xf numFmtId="1" fontId="7" fillId="28" borderId="39" xfId="0" applyNumberFormat="1" applyFont="1" applyFill="1" applyBorder="1" applyAlignment="1">
      <alignment horizontal="center"/>
    </xf>
    <xf numFmtId="2" fontId="0" fillId="28" borderId="39" xfId="0" applyNumberFormat="1" applyFill="1" applyBorder="1"/>
    <xf numFmtId="0" fontId="0" fillId="20" borderId="40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19" borderId="40" xfId="0" applyFill="1" applyBorder="1" applyAlignment="1">
      <alignment horizontal="center"/>
    </xf>
    <xf numFmtId="0" fontId="0" fillId="22" borderId="40" xfId="0" applyFill="1" applyBorder="1" applyAlignment="1">
      <alignment horizontal="center"/>
    </xf>
    <xf numFmtId="0" fontId="4" fillId="4" borderId="39" xfId="0" applyFont="1" applyFill="1" applyBorder="1"/>
    <xf numFmtId="0" fontId="0" fillId="14" borderId="39" xfId="0" applyFill="1" applyBorder="1"/>
    <xf numFmtId="0" fontId="0" fillId="14" borderId="39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9" fontId="0" fillId="0" borderId="0" xfId="0" applyNumberFormat="1"/>
    <xf numFmtId="174" fontId="0" fillId="0" borderId="0" xfId="0" applyNumberFormat="1"/>
    <xf numFmtId="174" fontId="2" fillId="10" borderId="0" xfId="0" applyNumberFormat="1" applyFont="1" applyFill="1"/>
    <xf numFmtId="0" fontId="5" fillId="31" borderId="39" xfId="0" applyFont="1" applyFill="1" applyBorder="1"/>
    <xf numFmtId="0" fontId="0" fillId="2" borderId="39" xfId="0" applyFill="1" applyBorder="1"/>
    <xf numFmtId="0" fontId="5" fillId="31" borderId="39" xfId="0" applyFont="1" applyFill="1" applyBorder="1" applyAlignment="1">
      <alignment wrapText="1"/>
    </xf>
    <xf numFmtId="0" fontId="0" fillId="32" borderId="39" xfId="0" applyFill="1" applyBorder="1"/>
    <xf numFmtId="0" fontId="0" fillId="0" borderId="0" xfId="0" applyAlignment="1">
      <alignment horizontal="center"/>
    </xf>
    <xf numFmtId="0" fontId="0" fillId="29" borderId="39" xfId="0" applyFill="1" applyBorder="1"/>
    <xf numFmtId="0" fontId="11" fillId="19" borderId="39" xfId="0" applyFont="1" applyFill="1" applyBorder="1" applyAlignment="1">
      <alignment horizontal="center"/>
    </xf>
    <xf numFmtId="0" fontId="7" fillId="13" borderId="39" xfId="0" applyFont="1" applyFill="1" applyBorder="1"/>
    <xf numFmtId="0" fontId="7" fillId="13" borderId="39" xfId="0" applyFont="1" applyFill="1" applyBorder="1" applyAlignment="1">
      <alignment horizontal="center"/>
    </xf>
    <xf numFmtId="4" fontId="7" fillId="13" borderId="39" xfId="0" applyNumberFormat="1" applyFont="1" applyFill="1" applyBorder="1"/>
    <xf numFmtId="2" fontId="7" fillId="13" borderId="39" xfId="0" applyNumberFormat="1" applyFont="1" applyFill="1" applyBorder="1"/>
    <xf numFmtId="1" fontId="7" fillId="13" borderId="39" xfId="0" applyNumberFormat="1" applyFont="1" applyFill="1" applyBorder="1" applyAlignment="1">
      <alignment horizontal="center"/>
    </xf>
    <xf numFmtId="2" fontId="0" fillId="13" borderId="39" xfId="0" applyNumberFormat="1" applyFill="1" applyBorder="1"/>
    <xf numFmtId="0" fontId="7" fillId="33" borderId="39" xfId="0" applyFont="1" applyFill="1" applyBorder="1"/>
    <xf numFmtId="0" fontId="7" fillId="33" borderId="39" xfId="0" applyFont="1" applyFill="1" applyBorder="1" applyAlignment="1">
      <alignment horizontal="center"/>
    </xf>
    <xf numFmtId="2" fontId="7" fillId="33" borderId="39" xfId="0" applyNumberFormat="1" applyFont="1" applyFill="1" applyBorder="1"/>
    <xf numFmtId="1" fontId="7" fillId="33" borderId="39" xfId="0" applyNumberFormat="1" applyFont="1" applyFill="1" applyBorder="1" applyAlignment="1">
      <alignment horizontal="center"/>
    </xf>
    <xf numFmtId="2" fontId="0" fillId="14" borderId="39" xfId="0" applyNumberFormat="1" applyFill="1" applyBorder="1"/>
    <xf numFmtId="170" fontId="0" fillId="22" borderId="39" xfId="0" applyNumberFormat="1" applyFill="1" applyBorder="1"/>
    <xf numFmtId="170" fontId="11" fillId="22" borderId="39" xfId="0" applyNumberFormat="1" applyFont="1" applyFill="1" applyBorder="1"/>
    <xf numFmtId="0" fontId="7" fillId="13" borderId="39" xfId="0" applyFont="1" applyFill="1" applyBorder="1" applyAlignment="1">
      <alignment horizontal="center" vertical="center"/>
    </xf>
    <xf numFmtId="0" fontId="7" fillId="21" borderId="39" xfId="0" applyFont="1" applyFill="1" applyBorder="1"/>
    <xf numFmtId="0" fontId="7" fillId="21" borderId="39" xfId="0" applyFont="1" applyFill="1" applyBorder="1" applyAlignment="1">
      <alignment horizontal="center"/>
    </xf>
    <xf numFmtId="2" fontId="7" fillId="21" borderId="39" xfId="0" applyNumberFormat="1" applyFont="1" applyFill="1" applyBorder="1"/>
    <xf numFmtId="0" fontId="7" fillId="21" borderId="39" xfId="0" applyFont="1" applyFill="1" applyBorder="1" applyAlignment="1">
      <alignment horizontal="center" vertical="center"/>
    </xf>
    <xf numFmtId="174" fontId="7" fillId="21" borderId="39" xfId="0" applyNumberFormat="1" applyFont="1" applyFill="1" applyBorder="1"/>
    <xf numFmtId="0" fontId="12" fillId="14" borderId="2" xfId="0" applyFont="1" applyFill="1" applyBorder="1" applyAlignment="1" applyProtection="1">
      <alignment horizontal="center"/>
      <protection locked="0"/>
    </xf>
    <xf numFmtId="174" fontId="12" fillId="14" borderId="2" xfId="0" applyNumberFormat="1" applyFont="1" applyFill="1" applyBorder="1" applyAlignment="1" applyProtection="1">
      <alignment horizontal="center"/>
      <protection locked="0"/>
    </xf>
    <xf numFmtId="3" fontId="12" fillId="14" borderId="2" xfId="0" applyNumberFormat="1" applyFont="1" applyFill="1" applyBorder="1" applyAlignment="1" applyProtection="1">
      <alignment horizontal="center"/>
      <protection locked="0"/>
    </xf>
    <xf numFmtId="0" fontId="2" fillId="14" borderId="2" xfId="0" applyFont="1" applyFill="1" applyBorder="1" applyAlignment="1" applyProtection="1">
      <alignment horizontal="center"/>
      <protection locked="0"/>
    </xf>
    <xf numFmtId="9" fontId="2" fillId="14" borderId="2" xfId="2" applyFont="1" applyFill="1" applyBorder="1" applyAlignment="1" applyProtection="1">
      <alignment horizontal="center"/>
      <protection locked="0"/>
    </xf>
    <xf numFmtId="3" fontId="3" fillId="34" borderId="2" xfId="0" applyNumberFormat="1" applyFont="1" applyFill="1" applyBorder="1" applyAlignment="1" applyProtection="1">
      <alignment horizontal="center"/>
      <protection locked="0"/>
    </xf>
    <xf numFmtId="0" fontId="3" fillId="34" borderId="2" xfId="0" applyFont="1" applyFill="1" applyBorder="1" applyAlignment="1" applyProtection="1">
      <alignment horizontal="center"/>
      <protection locked="0"/>
    </xf>
    <xf numFmtId="174" fontId="3" fillId="34" borderId="2" xfId="0" applyNumberFormat="1" applyFont="1" applyFill="1" applyBorder="1" applyAlignment="1" applyProtection="1">
      <alignment horizontal="center"/>
      <protection locked="0"/>
    </xf>
    <xf numFmtId="175" fontId="3" fillId="34" borderId="2" xfId="0" applyNumberFormat="1" applyFont="1" applyFill="1" applyBorder="1" applyAlignment="1" applyProtection="1">
      <alignment horizontal="center"/>
      <protection locked="0"/>
    </xf>
    <xf numFmtId="49" fontId="3" fillId="34" borderId="2" xfId="0" applyNumberFormat="1" applyFont="1" applyFill="1" applyBorder="1" applyAlignment="1" applyProtection="1">
      <alignment horizontal="center"/>
      <protection locked="0"/>
    </xf>
    <xf numFmtId="0" fontId="12" fillId="14" borderId="2" xfId="0" applyFont="1" applyFill="1" applyBorder="1" applyAlignment="1" applyProtection="1">
      <alignment horizontal="center" vertical="center"/>
      <protection locked="0"/>
    </xf>
    <xf numFmtId="0" fontId="2" fillId="19" borderId="2" xfId="0" applyFont="1" applyFill="1" applyBorder="1" applyAlignment="1" applyProtection="1">
      <alignment horizontal="center"/>
      <protection locked="0"/>
    </xf>
    <xf numFmtId="166" fontId="0" fillId="12" borderId="1" xfId="1" applyNumberFormat="1" applyFont="1" applyFill="1" applyBorder="1" applyAlignment="1" applyProtection="1">
      <alignment horizontal="center"/>
      <protection locked="0"/>
    </xf>
    <xf numFmtId="167" fontId="0" fillId="7" borderId="11" xfId="0" applyNumberFormat="1" applyFill="1" applyBorder="1" applyProtection="1">
      <protection locked="0"/>
    </xf>
    <xf numFmtId="0" fontId="2" fillId="8" borderId="4" xfId="0" applyFont="1" applyFill="1" applyBorder="1" applyAlignment="1">
      <alignment vertical="center"/>
    </xf>
    <xf numFmtId="166" fontId="0" fillId="9" borderId="9" xfId="1" applyNumberFormat="1" applyFont="1" applyFill="1" applyBorder="1" applyAlignment="1" applyProtection="1">
      <alignment horizontal="center" vertical="center"/>
    </xf>
    <xf numFmtId="3" fontId="0" fillId="25" borderId="39" xfId="0" applyNumberFormat="1" applyFill="1" applyBorder="1" applyAlignment="1">
      <alignment horizontal="center"/>
    </xf>
    <xf numFmtId="0" fontId="0" fillId="25" borderId="39" xfId="0" applyFill="1" applyBorder="1" applyAlignment="1">
      <alignment horizontal="center"/>
    </xf>
    <xf numFmtId="166" fontId="0" fillId="9" borderId="11" xfId="1" applyNumberFormat="1" applyFont="1" applyFill="1" applyBorder="1" applyAlignment="1" applyProtection="1">
      <alignment horizontal="center" vertical="center"/>
    </xf>
    <xf numFmtId="2" fontId="0" fillId="0" borderId="0" xfId="2" applyNumberFormat="1" applyFont="1" applyProtection="1"/>
    <xf numFmtId="166" fontId="0" fillId="9" borderId="14" xfId="1" applyNumberFormat="1" applyFont="1" applyFill="1" applyBorder="1" applyAlignment="1" applyProtection="1">
      <alignment horizontal="center" vertical="center"/>
    </xf>
    <xf numFmtId="0" fontId="2" fillId="9" borderId="41" xfId="0" applyFont="1" applyFill="1" applyBorder="1"/>
    <xf numFmtId="166" fontId="0" fillId="9" borderId="42" xfId="1" applyNumberFormat="1" applyFont="1" applyFill="1" applyBorder="1" applyAlignment="1" applyProtection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9" fontId="2" fillId="18" borderId="1" xfId="2" applyFont="1" applyFill="1" applyBorder="1" applyAlignment="1" applyProtection="1">
      <alignment horizontal="center"/>
    </xf>
    <xf numFmtId="0" fontId="0" fillId="14" borderId="4" xfId="0" applyFill="1" applyBorder="1"/>
    <xf numFmtId="3" fontId="7" fillId="30" borderId="2" xfId="0" applyNumberFormat="1" applyFont="1" applyFill="1" applyBorder="1" applyAlignment="1">
      <alignment horizontal="center"/>
    </xf>
    <xf numFmtId="0" fontId="2" fillId="14" borderId="4" xfId="0" applyFont="1" applyFill="1" applyBorder="1"/>
    <xf numFmtId="3" fontId="3" fillId="30" borderId="2" xfId="0" applyNumberFormat="1" applyFont="1" applyFill="1" applyBorder="1" applyAlignment="1">
      <alignment horizontal="center"/>
    </xf>
    <xf numFmtId="166" fontId="0" fillId="12" borderId="1" xfId="1" applyNumberFormat="1" applyFont="1" applyFill="1" applyBorder="1" applyAlignment="1" applyProtection="1">
      <alignment horizontal="center"/>
    </xf>
    <xf numFmtId="0" fontId="2" fillId="10" borderId="4" xfId="0" applyFont="1" applyFill="1" applyBorder="1"/>
    <xf numFmtId="174" fontId="7" fillId="30" borderId="2" xfId="0" applyNumberFormat="1" applyFont="1" applyFill="1" applyBorder="1" applyAlignment="1">
      <alignment horizontal="center"/>
    </xf>
    <xf numFmtId="168" fontId="3" fillId="13" borderId="1" xfId="2" applyNumberFormat="1" applyFont="1" applyFill="1" applyBorder="1" applyAlignment="1" applyProtection="1">
      <alignment vertical="center"/>
    </xf>
    <xf numFmtId="9" fontId="0" fillId="0" borderId="0" xfId="2" applyFont="1" applyProtection="1"/>
    <xf numFmtId="172" fontId="0" fillId="0" borderId="0" xfId="0" applyNumberFormat="1"/>
    <xf numFmtId="10" fontId="0" fillId="0" borderId="0" xfId="2" applyNumberFormat="1" applyFont="1" applyProtecti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3" fontId="0" fillId="12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center" wrapText="1"/>
    </xf>
    <xf numFmtId="0" fontId="2" fillId="8" borderId="3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2" borderId="39" xfId="0" applyFont="1" applyFill="1" applyBorder="1"/>
    <xf numFmtId="0" fontId="8" fillId="31" borderId="39" xfId="0" applyFont="1" applyFill="1" applyBorder="1"/>
    <xf numFmtId="2" fontId="5" fillId="14" borderId="39" xfId="0" applyNumberFormat="1" applyFont="1" applyFill="1" applyBorder="1"/>
    <xf numFmtId="0" fontId="5" fillId="14" borderId="39" xfId="0" applyFont="1" applyFill="1" applyBorder="1" applyAlignment="1">
      <alignment horizontal="center"/>
    </xf>
    <xf numFmtId="0" fontId="5" fillId="14" borderId="39" xfId="0" applyFont="1" applyFill="1" applyBorder="1"/>
    <xf numFmtId="0" fontId="5" fillId="22" borderId="39" xfId="0" applyFont="1" applyFill="1" applyBorder="1"/>
    <xf numFmtId="0" fontId="2" fillId="8" borderId="6" xfId="0" applyFont="1" applyFill="1" applyBorder="1"/>
    <xf numFmtId="169" fontId="0" fillId="0" borderId="0" xfId="0" applyNumberFormat="1"/>
    <xf numFmtId="9" fontId="7" fillId="30" borderId="2" xfId="0" applyNumberFormat="1" applyFont="1" applyFill="1" applyBorder="1" applyAlignment="1">
      <alignment horizontal="center"/>
    </xf>
    <xf numFmtId="0" fontId="2" fillId="8" borderId="48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39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50" xfId="0" applyFont="1" applyFill="1" applyBorder="1" applyAlignment="1">
      <alignment horizontal="center" vertical="center" wrapText="1"/>
    </xf>
    <xf numFmtId="0" fontId="2" fillId="8" borderId="52" xfId="0" applyFont="1" applyFill="1" applyBorder="1" applyAlignment="1">
      <alignment horizontal="center" vertical="center" wrapText="1"/>
    </xf>
    <xf numFmtId="0" fontId="2" fillId="8" borderId="5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7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10" fontId="2" fillId="9" borderId="26" xfId="2" applyNumberFormat="1" applyFont="1" applyFill="1" applyBorder="1" applyAlignment="1">
      <alignment horizontal="center"/>
    </xf>
    <xf numFmtId="10" fontId="2" fillId="9" borderId="28" xfId="2" applyNumberFormat="1" applyFont="1" applyFill="1" applyBorder="1" applyAlignment="1">
      <alignment horizontal="center"/>
    </xf>
    <xf numFmtId="9" fontId="2" fillId="9" borderId="26" xfId="2" applyFont="1" applyFill="1" applyBorder="1" applyAlignment="1">
      <alignment horizontal="center"/>
    </xf>
    <xf numFmtId="9" fontId="2" fillId="9" borderId="33" xfId="2" applyFont="1" applyFill="1" applyBorder="1" applyAlignment="1">
      <alignment horizontal="center"/>
    </xf>
    <xf numFmtId="0" fontId="2" fillId="9" borderId="26" xfId="0" applyFont="1" applyFill="1" applyBorder="1" applyAlignment="1">
      <alignment horizontal="center"/>
    </xf>
    <xf numFmtId="0" fontId="2" fillId="9" borderId="27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3" fillId="16" borderId="23" xfId="0" applyFont="1" applyFill="1" applyBorder="1" applyAlignment="1">
      <alignment horizontal="center"/>
    </xf>
    <xf numFmtId="0" fontId="3" fillId="16" borderId="3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4" fillId="4" borderId="39" xfId="0" applyFont="1" applyFill="1" applyBorder="1" applyAlignment="1">
      <alignment horizontal="center"/>
    </xf>
    <xf numFmtId="1" fontId="0" fillId="0" borderId="39" xfId="0" applyNumberFormat="1" applyBorder="1" applyAlignment="1">
      <alignment horizontal="center" vertical="center"/>
    </xf>
    <xf numFmtId="0" fontId="3" fillId="13" borderId="0" xfId="0" applyFont="1" applyFill="1" applyAlignment="1">
      <alignment horizontal="center"/>
    </xf>
    <xf numFmtId="3" fontId="2" fillId="27" borderId="39" xfId="0" applyNumberFormat="1" applyFont="1" applyFill="1" applyBorder="1" applyAlignment="1">
      <alignment horizontal="center"/>
    </xf>
    <xf numFmtId="9" fontId="2" fillId="27" borderId="39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9AE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1F8D-951E-4300-8728-ACAEDC12A973}">
  <sheetPr codeName="Hoja1"/>
  <dimension ref="A1:K23"/>
  <sheetViews>
    <sheetView topLeftCell="B1" workbookViewId="0">
      <selection activeCell="H13" sqref="H13"/>
    </sheetView>
  </sheetViews>
  <sheetFormatPr baseColWidth="10" defaultColWidth="8.7265625" defaultRowHeight="14.5" x14ac:dyDescent="0.35"/>
  <cols>
    <col min="1" max="1" width="12.81640625" customWidth="1"/>
    <col min="2" max="2" width="27.453125" bestFit="1" customWidth="1"/>
    <col min="3" max="3" width="12.453125" bestFit="1" customWidth="1"/>
    <col min="4" max="4" width="5.81640625" customWidth="1"/>
    <col min="5" max="5" width="20.26953125" bestFit="1" customWidth="1"/>
    <col min="6" max="6" width="12.7265625" bestFit="1" customWidth="1"/>
    <col min="7" max="7" width="11.1796875" bestFit="1" customWidth="1"/>
    <col min="8" max="8" width="13.1796875" bestFit="1" customWidth="1"/>
    <col min="9" max="9" width="4.81640625" customWidth="1"/>
    <col min="10" max="10" width="19" bestFit="1" customWidth="1"/>
    <col min="11" max="11" width="11.81640625" customWidth="1"/>
    <col min="12" max="12" width="12.453125" bestFit="1" customWidth="1"/>
    <col min="13" max="13" width="3.453125" customWidth="1"/>
    <col min="14" max="14" width="13.453125" customWidth="1"/>
    <col min="15" max="15" width="7.453125" bestFit="1" customWidth="1"/>
  </cols>
  <sheetData>
    <row r="1" spans="1:11" ht="22" customHeight="1" thickBot="1" x14ac:dyDescent="0.4">
      <c r="B1" s="282" t="s">
        <v>0</v>
      </c>
      <c r="C1" s="283"/>
      <c r="E1" s="301" t="s">
        <v>1</v>
      </c>
      <c r="F1" s="302"/>
      <c r="G1" s="302"/>
      <c r="H1" s="303"/>
      <c r="J1" s="280" t="s">
        <v>2</v>
      </c>
      <c r="K1" s="281"/>
    </row>
    <row r="2" spans="1:11" ht="29.5" thickBot="1" x14ac:dyDescent="0.4">
      <c r="B2" s="5" t="s">
        <v>3</v>
      </c>
      <c r="C2" s="84">
        <v>5</v>
      </c>
      <c r="E2" s="6" t="s">
        <v>4</v>
      </c>
      <c r="F2" s="7" t="s">
        <v>5</v>
      </c>
      <c r="G2" s="7" t="s">
        <v>6</v>
      </c>
      <c r="H2" s="16" t="s">
        <v>7</v>
      </c>
      <c r="J2" s="26" t="s">
        <v>4</v>
      </c>
      <c r="K2" s="27" t="s">
        <v>8</v>
      </c>
    </row>
    <row r="3" spans="1:11" ht="15" thickBot="1" x14ac:dyDescent="0.4">
      <c r="B3" s="1" t="s">
        <v>9</v>
      </c>
      <c r="C3" s="44">
        <v>45</v>
      </c>
      <c r="E3" s="8" t="s">
        <v>10</v>
      </c>
      <c r="F3" s="4">
        <v>150</v>
      </c>
      <c r="G3" s="14">
        <f>MROUND(1.15*C2*1000/300,1)</f>
        <v>19</v>
      </c>
      <c r="H3" s="17">
        <f>+F3*G3</f>
        <v>2850</v>
      </c>
      <c r="I3">
        <f>+H3/C2/1000</f>
        <v>0.56999999999999995</v>
      </c>
      <c r="J3" s="28" t="s">
        <v>11</v>
      </c>
      <c r="K3" s="29">
        <f>+H11</f>
        <v>5280</v>
      </c>
    </row>
    <row r="4" spans="1:11" ht="15" thickBot="1" x14ac:dyDescent="0.4">
      <c r="B4" s="1" t="s">
        <v>12</v>
      </c>
      <c r="C4" s="45">
        <v>0.15</v>
      </c>
      <c r="E4" s="8" t="s">
        <v>13</v>
      </c>
      <c r="F4" s="4">
        <v>1.5</v>
      </c>
      <c r="G4" s="14">
        <f>+$C$2*40*1000/5000</f>
        <v>40</v>
      </c>
      <c r="H4" s="17">
        <f t="shared" ref="H4:H9" si="0">+F4*G4</f>
        <v>60</v>
      </c>
      <c r="J4" s="28" t="s">
        <v>14</v>
      </c>
      <c r="K4" s="29">
        <f>+(F13*H13+F14*H14+F15*H15)/C3</f>
        <v>1013.3333333333334</v>
      </c>
    </row>
    <row r="5" spans="1:11" ht="15" thickBot="1" x14ac:dyDescent="0.4">
      <c r="B5" s="1" t="s">
        <v>15</v>
      </c>
      <c r="C5" s="45">
        <v>0.4</v>
      </c>
      <c r="E5" s="8" t="s">
        <v>16</v>
      </c>
      <c r="F5" s="4">
        <v>1.5</v>
      </c>
      <c r="G5" s="14">
        <f>+$C$2*40*1000/5000</f>
        <v>40</v>
      </c>
      <c r="H5" s="17">
        <f t="shared" si="0"/>
        <v>60</v>
      </c>
      <c r="J5" s="28" t="s">
        <v>17</v>
      </c>
      <c r="K5" s="29">
        <f>+(K3+K4)*C4</f>
        <v>943.99999999999989</v>
      </c>
    </row>
    <row r="6" spans="1:11" ht="15" thickBot="1" x14ac:dyDescent="0.4">
      <c r="B6" s="1" t="s">
        <v>18</v>
      </c>
      <c r="C6" s="56">
        <v>0</v>
      </c>
      <c r="E6" s="8" t="s">
        <v>19</v>
      </c>
      <c r="F6" s="4">
        <v>10</v>
      </c>
      <c r="G6" s="14">
        <f>+G7*2</f>
        <v>4</v>
      </c>
      <c r="H6" s="17">
        <f t="shared" si="0"/>
        <v>40</v>
      </c>
      <c r="J6" s="28"/>
      <c r="K6" s="29"/>
    </row>
    <row r="7" spans="1:11" ht="15" thickBot="1" x14ac:dyDescent="0.4">
      <c r="B7" s="1" t="s">
        <v>20</v>
      </c>
      <c r="C7" s="44">
        <v>60</v>
      </c>
      <c r="E7" s="8" t="s">
        <v>21</v>
      </c>
      <c r="F7" s="4">
        <v>130</v>
      </c>
      <c r="G7" s="14">
        <f>+C2*2*1000/5000</f>
        <v>2</v>
      </c>
      <c r="H7" s="17">
        <f t="shared" si="0"/>
        <v>260</v>
      </c>
      <c r="J7" s="28" t="s">
        <v>22</v>
      </c>
      <c r="K7" s="29">
        <f>+SUM(K3:K5)</f>
        <v>7237.333333333333</v>
      </c>
    </row>
    <row r="8" spans="1:11" ht="15" thickBot="1" x14ac:dyDescent="0.4">
      <c r="E8" s="8" t="s">
        <v>23</v>
      </c>
      <c r="F8" s="4">
        <v>1250</v>
      </c>
      <c r="G8" s="14">
        <f>ROUNDUP(C2*1000/6000,0)</f>
        <v>1</v>
      </c>
      <c r="H8" s="17">
        <f t="shared" si="0"/>
        <v>1250</v>
      </c>
      <c r="J8" s="28" t="s">
        <v>24</v>
      </c>
      <c r="K8" s="29">
        <f>+K7*0.22</f>
        <v>1592.2133333333334</v>
      </c>
    </row>
    <row r="9" spans="1:11" ht="15" thickBot="1" x14ac:dyDescent="0.4">
      <c r="B9" s="304" t="s">
        <v>25</v>
      </c>
      <c r="C9" s="305"/>
      <c r="E9" s="9" t="s">
        <v>26</v>
      </c>
      <c r="F9" s="10">
        <v>40</v>
      </c>
      <c r="G9" s="15">
        <f>+G3</f>
        <v>19</v>
      </c>
      <c r="H9" s="18">
        <f t="shared" si="0"/>
        <v>760</v>
      </c>
      <c r="J9" s="30"/>
      <c r="K9" s="31"/>
    </row>
    <row r="10" spans="1:11" ht="15" thickBot="1" x14ac:dyDescent="0.4">
      <c r="B10" s="306"/>
      <c r="C10" s="307"/>
      <c r="F10" s="191"/>
      <c r="G10" s="191"/>
      <c r="H10" s="3"/>
    </row>
    <row r="11" spans="1:11" ht="15" thickBot="1" x14ac:dyDescent="0.4">
      <c r="A11" s="305" t="s">
        <v>27</v>
      </c>
      <c r="B11" s="19" t="s">
        <v>28</v>
      </c>
      <c r="C11" s="20">
        <f>+H11-C6</f>
        <v>5280</v>
      </c>
      <c r="F11" s="191"/>
      <c r="G11" s="2" t="s">
        <v>29</v>
      </c>
      <c r="H11" s="13">
        <f>+SUM(H3:H9)</f>
        <v>5280</v>
      </c>
      <c r="J11" s="11" t="s">
        <v>29</v>
      </c>
      <c r="K11" s="12">
        <f>+K7+K8</f>
        <v>8829.5466666666671</v>
      </c>
    </row>
    <row r="12" spans="1:11" ht="15" thickBot="1" x14ac:dyDescent="0.4">
      <c r="A12" s="297"/>
      <c r="B12" s="19" t="s">
        <v>30</v>
      </c>
      <c r="C12" s="32">
        <f>+C11/H11</f>
        <v>1</v>
      </c>
    </row>
    <row r="13" spans="1:11" x14ac:dyDescent="0.35">
      <c r="A13" s="297"/>
      <c r="B13" s="21" t="s">
        <v>31</v>
      </c>
      <c r="C13" s="22">
        <f>C11*C5*C7/365</f>
        <v>347.17808219178085</v>
      </c>
      <c r="E13" s="34" t="s">
        <v>32</v>
      </c>
      <c r="F13" s="35">
        <v>1800</v>
      </c>
      <c r="G13" s="34" t="s">
        <v>33</v>
      </c>
      <c r="H13" s="36">
        <f>4*G8</f>
        <v>4</v>
      </c>
      <c r="J13" s="50" t="s">
        <v>34</v>
      </c>
      <c r="K13" s="53">
        <v>5000</v>
      </c>
    </row>
    <row r="14" spans="1:11" ht="15" thickBot="1" x14ac:dyDescent="0.4">
      <c r="A14" s="297"/>
      <c r="B14" s="23" t="s">
        <v>35</v>
      </c>
      <c r="C14" s="47">
        <f>C13/C11</f>
        <v>6.5753424657534254E-2</v>
      </c>
      <c r="E14" s="37" t="s">
        <v>36</v>
      </c>
      <c r="F14" s="38">
        <v>1000</v>
      </c>
      <c r="G14" s="37" t="s">
        <v>37</v>
      </c>
      <c r="H14" s="39">
        <v>24</v>
      </c>
      <c r="J14" s="50" t="s">
        <v>38</v>
      </c>
      <c r="K14" s="53">
        <f>+K13/C3</f>
        <v>111.11111111111111</v>
      </c>
    </row>
    <row r="15" spans="1:11" ht="15" thickBot="1" x14ac:dyDescent="0.4">
      <c r="A15" s="297"/>
      <c r="B15" s="23" t="s">
        <v>39</v>
      </c>
      <c r="C15" s="47">
        <f>(365/C7)*C14</f>
        <v>0.4</v>
      </c>
      <c r="E15" s="40" t="s">
        <v>40</v>
      </c>
      <c r="F15" s="41">
        <v>600</v>
      </c>
      <c r="G15" s="40" t="s">
        <v>41</v>
      </c>
      <c r="H15" s="42">
        <v>24</v>
      </c>
      <c r="J15" s="50"/>
      <c r="K15" s="50"/>
    </row>
    <row r="16" spans="1:11" ht="15" thickBot="1" x14ac:dyDescent="0.4">
      <c r="A16" s="43"/>
      <c r="B16" s="43"/>
      <c r="C16" s="43"/>
      <c r="E16" s="34" t="s">
        <v>42</v>
      </c>
      <c r="F16" s="35">
        <f>+H13*F13</f>
        <v>7200</v>
      </c>
      <c r="G16" s="51">
        <f>+F16/$C$3</f>
        <v>160</v>
      </c>
      <c r="J16" s="294" t="s">
        <v>43</v>
      </c>
      <c r="K16" s="295">
        <f>+K11/K14</f>
        <v>79.465919999999997</v>
      </c>
    </row>
    <row r="17" spans="1:11" ht="15" thickBot="1" x14ac:dyDescent="0.4">
      <c r="A17" s="297" t="s">
        <v>44</v>
      </c>
      <c r="B17" s="46" t="s">
        <v>45</v>
      </c>
      <c r="C17" s="32">
        <f>+C6/H11</f>
        <v>0</v>
      </c>
      <c r="E17" s="37" t="s">
        <v>46</v>
      </c>
      <c r="F17" s="38">
        <f>+H14*F14</f>
        <v>24000</v>
      </c>
      <c r="G17" s="51">
        <f t="shared" ref="G17:G18" si="1">+F17/$C$3</f>
        <v>533.33333333333337</v>
      </c>
      <c r="J17" s="294"/>
      <c r="K17" s="296"/>
    </row>
    <row r="18" spans="1:11" ht="15" thickBot="1" x14ac:dyDescent="0.4">
      <c r="A18" s="297"/>
      <c r="B18" s="24" t="s">
        <v>47</v>
      </c>
      <c r="C18" s="25">
        <f>K5-C13</f>
        <v>596.82191780821904</v>
      </c>
      <c r="E18" s="40" t="s">
        <v>48</v>
      </c>
      <c r="F18" s="41">
        <f>+H15*F15</f>
        <v>14400</v>
      </c>
      <c r="G18" s="51">
        <f t="shared" si="1"/>
        <v>320</v>
      </c>
      <c r="J18" s="298" t="s">
        <v>49</v>
      </c>
      <c r="K18" s="299">
        <f>+K16/12</f>
        <v>6.62216</v>
      </c>
    </row>
    <row r="19" spans="1:11" ht="15" thickBot="1" x14ac:dyDescent="0.4">
      <c r="A19" s="297"/>
      <c r="B19" s="33" t="s">
        <v>50</v>
      </c>
      <c r="C19" s="57" t="str">
        <f>IF(C6&gt;0,C18/C6,"inf")</f>
        <v>inf</v>
      </c>
      <c r="J19" s="298"/>
      <c r="K19" s="300"/>
    </row>
    <row r="20" spans="1:11" ht="15" thickBot="1" x14ac:dyDescent="0.4">
      <c r="A20" s="297"/>
      <c r="B20" s="23" t="s">
        <v>39</v>
      </c>
      <c r="C20" s="47" t="e">
        <f>(365/C7)*C19</f>
        <v>#VALUE!</v>
      </c>
      <c r="J20" s="50"/>
      <c r="K20" s="50"/>
    </row>
    <row r="21" spans="1:11" x14ac:dyDescent="0.35">
      <c r="J21" s="50" t="s">
        <v>51</v>
      </c>
      <c r="K21" s="54">
        <f>+K14*12</f>
        <v>1333.3333333333335</v>
      </c>
    </row>
    <row r="22" spans="1:11" x14ac:dyDescent="0.35">
      <c r="E22" s="48"/>
      <c r="J22" s="52" t="s">
        <v>52</v>
      </c>
      <c r="K22" s="55">
        <f>+K21/K11</f>
        <v>0.15100813027773416</v>
      </c>
    </row>
    <row r="23" spans="1:11" x14ac:dyDescent="0.35">
      <c r="F23" s="49"/>
    </row>
  </sheetData>
  <sheetProtection selectLockedCells="1"/>
  <mergeCells count="10">
    <mergeCell ref="B1:C1"/>
    <mergeCell ref="E1:H1"/>
    <mergeCell ref="J1:K1"/>
    <mergeCell ref="B9:C10"/>
    <mergeCell ref="A11:A15"/>
    <mergeCell ref="J16:J17"/>
    <mergeCell ref="K16:K17"/>
    <mergeCell ref="A17:A20"/>
    <mergeCell ref="J18:J19"/>
    <mergeCell ref="K18:K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6FB-C467-43F3-BAE3-5B44095ED0E3}">
  <sheetPr codeName="Hoja2"/>
  <dimension ref="A2:K30"/>
  <sheetViews>
    <sheetView workbookViewId="0">
      <selection activeCell="E33" sqref="E33"/>
    </sheetView>
  </sheetViews>
  <sheetFormatPr baseColWidth="10" defaultColWidth="11.453125" defaultRowHeight="14.5" x14ac:dyDescent="0.35"/>
  <cols>
    <col min="1" max="1" width="25.453125" bestFit="1" customWidth="1"/>
    <col min="2" max="3" width="10.1796875" customWidth="1"/>
    <col min="5" max="5" width="11.1796875" bestFit="1" customWidth="1"/>
    <col min="6" max="6" width="11.453125" customWidth="1"/>
    <col min="7" max="7" width="14.81640625" customWidth="1"/>
    <col min="8" max="8" width="15.81640625" customWidth="1"/>
    <col min="9" max="10" width="12.453125" bestFit="1" customWidth="1"/>
    <col min="11" max="11" width="11.81640625" bestFit="1" customWidth="1"/>
    <col min="12" max="12" width="19.453125" bestFit="1" customWidth="1"/>
  </cols>
  <sheetData>
    <row r="2" spans="1:11" hidden="1" x14ac:dyDescent="0.35">
      <c r="A2" s="58" t="s">
        <v>53</v>
      </c>
      <c r="B2" s="50">
        <v>1</v>
      </c>
      <c r="C2" s="50">
        <v>2</v>
      </c>
      <c r="D2" s="50">
        <v>10</v>
      </c>
      <c r="E2" s="50">
        <v>14</v>
      </c>
      <c r="F2" s="50">
        <v>15</v>
      </c>
      <c r="G2" s="50">
        <v>20</v>
      </c>
      <c r="H2" s="50">
        <v>28</v>
      </c>
      <c r="I2" s="50">
        <v>30</v>
      </c>
      <c r="J2" s="50">
        <v>60</v>
      </c>
      <c r="K2" s="50">
        <v>100</v>
      </c>
    </row>
    <row r="3" spans="1:11" hidden="1" x14ac:dyDescent="0.35">
      <c r="A3" s="58" t="s">
        <v>54</v>
      </c>
      <c r="B3" s="50">
        <f t="shared" ref="B3:K3" si="0">+ROUNDUP(B2/$B$20,0)</f>
        <v>1</v>
      </c>
      <c r="C3" s="50">
        <f t="shared" si="0"/>
        <v>1</v>
      </c>
      <c r="D3" s="50">
        <f t="shared" si="0"/>
        <v>1</v>
      </c>
      <c r="E3" s="50">
        <f t="shared" si="0"/>
        <v>1</v>
      </c>
      <c r="F3" s="50">
        <f t="shared" si="0"/>
        <v>2</v>
      </c>
      <c r="G3" s="50">
        <f t="shared" si="0"/>
        <v>2</v>
      </c>
      <c r="H3" s="50">
        <f t="shared" si="0"/>
        <v>2</v>
      </c>
      <c r="I3" s="50">
        <f t="shared" si="0"/>
        <v>3</v>
      </c>
      <c r="J3" s="50">
        <f t="shared" si="0"/>
        <v>5</v>
      </c>
      <c r="K3" s="50">
        <f t="shared" si="0"/>
        <v>8</v>
      </c>
    </row>
    <row r="4" spans="1:11" hidden="1" x14ac:dyDescent="0.35">
      <c r="A4" s="58" t="s">
        <v>55</v>
      </c>
      <c r="B4" s="50">
        <v>600</v>
      </c>
      <c r="C4" s="50">
        <v>600</v>
      </c>
      <c r="D4" s="50">
        <f t="shared" ref="D4:K4" si="1">+$B$4*D2</f>
        <v>6000</v>
      </c>
      <c r="E4" s="50">
        <f t="shared" si="1"/>
        <v>8400</v>
      </c>
      <c r="F4" s="50">
        <f t="shared" si="1"/>
        <v>9000</v>
      </c>
      <c r="G4" s="50">
        <f t="shared" si="1"/>
        <v>12000</v>
      </c>
      <c r="H4" s="50">
        <f t="shared" si="1"/>
        <v>16800</v>
      </c>
      <c r="I4" s="50">
        <f t="shared" si="1"/>
        <v>18000</v>
      </c>
      <c r="J4" s="50">
        <f t="shared" si="1"/>
        <v>36000</v>
      </c>
      <c r="K4" s="50">
        <f t="shared" si="1"/>
        <v>60000</v>
      </c>
    </row>
    <row r="5" spans="1:11" hidden="1" x14ac:dyDescent="0.35">
      <c r="A5" s="58" t="s">
        <v>56</v>
      </c>
      <c r="B5" s="50">
        <v>157.13999999999999</v>
      </c>
      <c r="C5" s="50">
        <f t="shared" ref="C5:K5" si="2">+$B$5*C2</f>
        <v>314.27999999999997</v>
      </c>
      <c r="D5" s="50">
        <f t="shared" si="2"/>
        <v>1571.3999999999999</v>
      </c>
      <c r="E5" s="50">
        <f t="shared" si="2"/>
        <v>2199.96</v>
      </c>
      <c r="F5" s="50">
        <f t="shared" si="2"/>
        <v>2357.1</v>
      </c>
      <c r="G5" s="50">
        <f t="shared" si="2"/>
        <v>3142.7999999999997</v>
      </c>
      <c r="H5" s="50">
        <f t="shared" si="2"/>
        <v>4399.92</v>
      </c>
      <c r="I5" s="50">
        <f t="shared" si="2"/>
        <v>4714.2</v>
      </c>
      <c r="J5" s="50">
        <f t="shared" si="2"/>
        <v>9428.4</v>
      </c>
      <c r="K5" s="54">
        <f t="shared" si="2"/>
        <v>15713.999999999998</v>
      </c>
    </row>
    <row r="6" spans="1:11" hidden="1" x14ac:dyDescent="0.35">
      <c r="A6" s="58" t="s">
        <v>57</v>
      </c>
      <c r="B6" s="50">
        <v>27.71</v>
      </c>
      <c r="C6" s="50">
        <v>46.88</v>
      </c>
      <c r="D6" s="50">
        <v>200.25</v>
      </c>
      <c r="E6" s="50">
        <v>276.94</v>
      </c>
      <c r="F6" s="50">
        <v>304.64999999999998</v>
      </c>
      <c r="G6" s="50">
        <v>400.5</v>
      </c>
      <c r="H6" s="50">
        <v>553.87</v>
      </c>
      <c r="I6" s="50">
        <v>600.75</v>
      </c>
      <c r="J6" s="50">
        <v>1192.96</v>
      </c>
      <c r="K6" s="59">
        <v>1985.43</v>
      </c>
    </row>
    <row r="7" spans="1:11" hidden="1" x14ac:dyDescent="0.35">
      <c r="A7" s="58" t="s">
        <v>58</v>
      </c>
      <c r="B7" s="50">
        <v>70</v>
      </c>
      <c r="C7" s="50">
        <v>70</v>
      </c>
      <c r="D7" s="50">
        <v>70</v>
      </c>
      <c r="E7" s="50">
        <v>70</v>
      </c>
      <c r="F7" s="50">
        <v>140</v>
      </c>
      <c r="G7" s="50">
        <v>140</v>
      </c>
      <c r="H7" s="50">
        <v>140</v>
      </c>
      <c r="I7" s="50">
        <v>210</v>
      </c>
      <c r="J7" s="50">
        <v>350</v>
      </c>
      <c r="K7" s="50">
        <f>+K3*$B$21</f>
        <v>560</v>
      </c>
    </row>
    <row r="8" spans="1:11" hidden="1" x14ac:dyDescent="0.35">
      <c r="A8" s="58" t="s">
        <v>59</v>
      </c>
      <c r="B8" s="50">
        <v>410.28</v>
      </c>
      <c r="C8" s="50">
        <v>504.57</v>
      </c>
      <c r="D8" s="50">
        <v>1258.8399999999999</v>
      </c>
      <c r="E8" s="50">
        <v>1635.98</v>
      </c>
      <c r="F8" s="50">
        <v>1998.26</v>
      </c>
      <c r="G8" s="50">
        <v>2469.6799999999998</v>
      </c>
      <c r="H8" s="50">
        <v>3223.95</v>
      </c>
      <c r="I8" s="50">
        <v>3680.52</v>
      </c>
      <c r="J8" s="50">
        <v>7045.04</v>
      </c>
      <c r="K8" s="50">
        <f>+$B$23*K3+K5*$B$24</f>
        <v>11956.399999999998</v>
      </c>
    </row>
    <row r="9" spans="1:11" hidden="1" x14ac:dyDescent="0.35">
      <c r="A9" s="58" t="s">
        <v>60</v>
      </c>
      <c r="B9" s="50">
        <v>395</v>
      </c>
      <c r="C9" s="50">
        <v>395</v>
      </c>
      <c r="D9" s="50">
        <v>395</v>
      </c>
      <c r="E9" s="50">
        <v>395</v>
      </c>
      <c r="F9" s="50">
        <v>730</v>
      </c>
      <c r="G9" s="50">
        <v>730</v>
      </c>
      <c r="H9" s="50">
        <v>730</v>
      </c>
      <c r="I9" s="50">
        <v>1065</v>
      </c>
      <c r="J9" s="50">
        <v>1735</v>
      </c>
      <c r="K9" s="50">
        <f>+LOOKUP(K3,D20:D29,E20:E29)*K3</f>
        <v>2600</v>
      </c>
    </row>
    <row r="10" spans="1:11" hidden="1" x14ac:dyDescent="0.35">
      <c r="A10" s="58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hidden="1" x14ac:dyDescent="0.35">
      <c r="A11" s="58" t="s">
        <v>29</v>
      </c>
      <c r="B11" s="50">
        <f>SUM(B5:B10)</f>
        <v>1060.1300000000001</v>
      </c>
      <c r="C11" s="50">
        <f>SUM(C5:C10)</f>
        <v>1330.73</v>
      </c>
      <c r="D11" s="50">
        <f>SUM(D5:D10)</f>
        <v>3495.49</v>
      </c>
      <c r="E11" s="50">
        <f>SUM(E5:E10)</f>
        <v>4577.88</v>
      </c>
      <c r="F11" s="50">
        <f>SUM(F5:F10)</f>
        <v>5530.01</v>
      </c>
      <c r="G11" s="50">
        <f t="shared" ref="G11:J11" si="3">SUM(G5:G10)</f>
        <v>6882.98</v>
      </c>
      <c r="H11" s="50">
        <f t="shared" si="3"/>
        <v>9047.74</v>
      </c>
      <c r="I11" s="50">
        <f t="shared" si="3"/>
        <v>10270.469999999999</v>
      </c>
      <c r="J11" s="59">
        <f t="shared" si="3"/>
        <v>19751.400000000001</v>
      </c>
      <c r="K11" s="59">
        <f>SUM(K5:K10)</f>
        <v>32815.829999999994</v>
      </c>
    </row>
    <row r="12" spans="1:11" hidden="1" x14ac:dyDescent="0.35">
      <c r="A12" s="58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idden="1" x14ac:dyDescent="0.35">
      <c r="A13" s="58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hidden="1" x14ac:dyDescent="0.35">
      <c r="A14" s="58" t="s">
        <v>61</v>
      </c>
      <c r="B14" s="60">
        <f>+B5/B4</f>
        <v>0.26189999999999997</v>
      </c>
      <c r="C14" s="60">
        <f>+C5/C4</f>
        <v>0.52379999999999993</v>
      </c>
      <c r="D14" s="60">
        <f>+D5/D4</f>
        <v>0.26189999999999997</v>
      </c>
      <c r="E14" s="60">
        <f>+E5/E4</f>
        <v>0.26190000000000002</v>
      </c>
      <c r="F14" s="60">
        <f>+F5/F4</f>
        <v>0.26189999999999997</v>
      </c>
      <c r="G14" s="60">
        <f t="shared" ref="G14:J14" si="4">+G5/G4</f>
        <v>0.26189999999999997</v>
      </c>
      <c r="H14" s="60">
        <f t="shared" si="4"/>
        <v>0.26190000000000002</v>
      </c>
      <c r="I14" s="60">
        <f t="shared" si="4"/>
        <v>0.26189999999999997</v>
      </c>
      <c r="J14" s="60">
        <f t="shared" si="4"/>
        <v>0.26189999999999997</v>
      </c>
      <c r="K14" s="50"/>
    </row>
    <row r="15" spans="1:11" hidden="1" x14ac:dyDescent="0.35">
      <c r="A15" s="58" t="s">
        <v>62</v>
      </c>
      <c r="B15" s="59">
        <f>+B11/B4</f>
        <v>1.7668833333333336</v>
      </c>
      <c r="C15" s="59">
        <f>+C11/C4</f>
        <v>2.2178833333333334</v>
      </c>
      <c r="D15" s="59">
        <f>+D11/D4</f>
        <v>0.58258166666666666</v>
      </c>
      <c r="E15" s="59">
        <f>+E11/E4</f>
        <v>0.5449857142857143</v>
      </c>
      <c r="F15" s="59">
        <f>+F11/F4</f>
        <v>0.61444555555555558</v>
      </c>
      <c r="G15" s="59">
        <f t="shared" ref="G15:J15" si="5">+G11/G4</f>
        <v>0.57358166666666666</v>
      </c>
      <c r="H15" s="59">
        <f t="shared" si="5"/>
        <v>0.53855595238095233</v>
      </c>
      <c r="I15" s="59">
        <f t="shared" si="5"/>
        <v>0.57058166666666665</v>
      </c>
      <c r="J15" s="59">
        <f t="shared" si="5"/>
        <v>0.54865000000000008</v>
      </c>
      <c r="K15" s="59">
        <f>+K11/K4</f>
        <v>0.54693049999999988</v>
      </c>
    </row>
    <row r="16" spans="1:11" hidden="1" x14ac:dyDescent="0.35"/>
    <row r="18" spans="1:11" ht="15" thickBot="1" x14ac:dyDescent="0.4"/>
    <row r="19" spans="1:11" ht="15" thickBot="1" x14ac:dyDescent="0.4">
      <c r="A19" s="61" t="s">
        <v>63</v>
      </c>
      <c r="B19" s="62">
        <v>600</v>
      </c>
      <c r="D19" s="65" t="s">
        <v>64</v>
      </c>
      <c r="E19" s="66" t="s">
        <v>65</v>
      </c>
      <c r="G19" s="310" t="s">
        <v>66</v>
      </c>
      <c r="H19" s="311"/>
      <c r="I19" s="312"/>
    </row>
    <row r="20" spans="1:11" ht="15" thickBot="1" x14ac:dyDescent="0.4">
      <c r="A20" s="63" t="s">
        <v>67</v>
      </c>
      <c r="B20" s="64">
        <v>14</v>
      </c>
      <c r="D20" s="68">
        <v>1</v>
      </c>
      <c r="E20" s="69">
        <v>395</v>
      </c>
      <c r="F20" s="67"/>
      <c r="G20" s="313" t="s">
        <v>53</v>
      </c>
      <c r="H20" s="314"/>
      <c r="I20" s="70">
        <v>10</v>
      </c>
      <c r="J20" s="67"/>
    </row>
    <row r="21" spans="1:11" ht="15" thickBot="1" x14ac:dyDescent="0.4">
      <c r="A21" s="63" t="s">
        <v>68</v>
      </c>
      <c r="B21" s="64">
        <v>70</v>
      </c>
      <c r="C21" s="67"/>
      <c r="D21" s="68">
        <v>2</v>
      </c>
      <c r="E21" s="69">
        <v>365</v>
      </c>
      <c r="F21" s="72"/>
      <c r="G21" s="315" t="s">
        <v>3</v>
      </c>
      <c r="H21" s="316"/>
      <c r="I21" s="83">
        <f>+I20*B19/1000</f>
        <v>6</v>
      </c>
      <c r="J21" s="72"/>
      <c r="K21" s="67"/>
    </row>
    <row r="22" spans="1:11" x14ac:dyDescent="0.35">
      <c r="A22" s="63" t="s">
        <v>57</v>
      </c>
      <c r="B22" s="71">
        <v>0.12740000000000001</v>
      </c>
      <c r="C22" s="72"/>
      <c r="D22" s="68">
        <v>3</v>
      </c>
      <c r="E22" s="69">
        <v>355</v>
      </c>
      <c r="G22" s="317" t="s">
        <v>64</v>
      </c>
      <c r="H22" s="318"/>
      <c r="I22" s="82">
        <f>+ROUNDUP(I20/$B$20,0)</f>
        <v>1</v>
      </c>
    </row>
    <row r="23" spans="1:11" x14ac:dyDescent="0.35">
      <c r="A23" s="63" t="s">
        <v>69</v>
      </c>
      <c r="B23" s="64">
        <v>316</v>
      </c>
      <c r="D23" s="68">
        <v>4</v>
      </c>
      <c r="E23" s="69">
        <v>350</v>
      </c>
      <c r="G23" s="317" t="s">
        <v>70</v>
      </c>
      <c r="H23" s="318"/>
      <c r="I23" s="74">
        <f>+I20*B26</f>
        <v>1571.3999999999999</v>
      </c>
    </row>
    <row r="24" spans="1:11" x14ac:dyDescent="0.35">
      <c r="A24" s="63" t="s">
        <v>71</v>
      </c>
      <c r="B24" s="73">
        <v>0.6</v>
      </c>
      <c r="D24" s="68">
        <v>5</v>
      </c>
      <c r="E24" s="69">
        <v>347</v>
      </c>
      <c r="F24" s="67"/>
      <c r="G24" s="317" t="s">
        <v>72</v>
      </c>
      <c r="H24" s="318"/>
      <c r="I24" s="74">
        <f>+I23*B22</f>
        <v>200.19636</v>
      </c>
      <c r="J24" s="67"/>
    </row>
    <row r="25" spans="1:11" x14ac:dyDescent="0.35">
      <c r="A25" s="63" t="s">
        <v>65</v>
      </c>
      <c r="B25" s="64">
        <v>395</v>
      </c>
      <c r="C25" s="67"/>
      <c r="D25" s="68">
        <v>6</v>
      </c>
      <c r="E25" s="69">
        <v>345</v>
      </c>
      <c r="G25" s="317" t="s">
        <v>73</v>
      </c>
      <c r="H25" s="318"/>
      <c r="I25" s="74">
        <f>+I22*B21</f>
        <v>70</v>
      </c>
    </row>
    <row r="26" spans="1:11" ht="15" thickBot="1" x14ac:dyDescent="0.4">
      <c r="A26" s="75" t="s">
        <v>74</v>
      </c>
      <c r="B26" s="76">
        <v>157.13999999999999</v>
      </c>
      <c r="D26" s="68">
        <v>7</v>
      </c>
      <c r="E26" s="69">
        <v>326.39999999999998</v>
      </c>
      <c r="G26" s="317" t="s">
        <v>75</v>
      </c>
      <c r="H26" s="318"/>
      <c r="I26" s="74">
        <f>+B23*I22+I23*B24</f>
        <v>1258.8399999999999</v>
      </c>
    </row>
    <row r="27" spans="1:11" x14ac:dyDescent="0.35">
      <c r="D27" s="68">
        <v>8</v>
      </c>
      <c r="E27" s="69">
        <v>325</v>
      </c>
      <c r="G27" s="317" t="s">
        <v>76</v>
      </c>
      <c r="H27" s="318"/>
      <c r="I27" s="74">
        <f>+LOOKUP(I22,D20:D29,E20:E29)*I22</f>
        <v>395</v>
      </c>
    </row>
    <row r="28" spans="1:11" ht="15" thickBot="1" x14ac:dyDescent="0.4">
      <c r="D28" s="68">
        <v>9</v>
      </c>
      <c r="E28" s="69">
        <v>324</v>
      </c>
      <c r="G28" s="319"/>
      <c r="H28" s="320"/>
      <c r="I28" s="77"/>
    </row>
    <row r="29" spans="1:11" ht="15" thickBot="1" x14ac:dyDescent="0.4">
      <c r="D29" s="78">
        <v>10</v>
      </c>
      <c r="E29" s="79">
        <v>323</v>
      </c>
      <c r="G29" s="321" t="s">
        <v>77</v>
      </c>
      <c r="H29" s="322"/>
      <c r="I29" s="80">
        <f>SUM(I23:I28)</f>
        <v>3495.4363599999997</v>
      </c>
    </row>
    <row r="30" spans="1:11" ht="15" thickBot="1" x14ac:dyDescent="0.4">
      <c r="A30" t="s">
        <v>78</v>
      </c>
      <c r="C30" s="67"/>
      <c r="G30" s="308" t="s">
        <v>79</v>
      </c>
      <c r="H30" s="309"/>
      <c r="I30" s="81">
        <f>+I29/I21/1000</f>
        <v>0.58257272666666671</v>
      </c>
    </row>
  </sheetData>
  <mergeCells count="12">
    <mergeCell ref="G30:H30"/>
    <mergeCell ref="G19:I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6FE6-EF91-4663-846B-8D268DE7B517}">
  <sheetPr codeName="Hoja3"/>
  <dimension ref="A1:T26"/>
  <sheetViews>
    <sheetView zoomScale="90" zoomScaleNormal="90" zoomScaleSheetLayoutView="50" workbookViewId="0">
      <selection activeCell="F3" sqref="F3"/>
    </sheetView>
  </sheetViews>
  <sheetFormatPr baseColWidth="10" defaultColWidth="8.7265625" defaultRowHeight="14.5" x14ac:dyDescent="0.35"/>
  <cols>
    <col min="1" max="1" width="12.81640625" customWidth="1"/>
    <col min="2" max="2" width="27.453125" bestFit="1" customWidth="1"/>
    <col min="3" max="3" width="12.453125" bestFit="1" customWidth="1"/>
    <col min="4" max="4" width="3.453125" customWidth="1"/>
    <col min="5" max="5" width="20.26953125" bestFit="1" customWidth="1"/>
    <col min="6" max="6" width="14.7265625" customWidth="1"/>
    <col min="7" max="7" width="13.1796875" customWidth="1"/>
    <col min="8" max="8" width="3.453125" customWidth="1"/>
    <col min="9" max="9" width="19" bestFit="1" customWidth="1"/>
    <col min="10" max="10" width="12.7265625" bestFit="1" customWidth="1"/>
    <col min="11" max="11" width="9.81640625" customWidth="1"/>
    <col min="12" max="12" width="21.26953125" bestFit="1" customWidth="1"/>
    <col min="13" max="13" width="11.453125" bestFit="1" customWidth="1"/>
  </cols>
  <sheetData>
    <row r="1" spans="1:20" ht="22" customHeight="1" thickBot="1" x14ac:dyDescent="0.4">
      <c r="B1" s="282" t="s">
        <v>0</v>
      </c>
      <c r="C1" s="283"/>
      <c r="E1" s="284" t="s">
        <v>1</v>
      </c>
      <c r="F1" s="285"/>
      <c r="G1" s="285"/>
      <c r="I1" s="280" t="s">
        <v>2</v>
      </c>
      <c r="J1" s="281"/>
      <c r="L1" s="279" t="s">
        <v>80</v>
      </c>
      <c r="M1" s="279"/>
    </row>
    <row r="2" spans="1:20" ht="29.5" thickBot="1" x14ac:dyDescent="0.4">
      <c r="B2" s="5" t="s">
        <v>3</v>
      </c>
      <c r="C2" s="84">
        <v>5</v>
      </c>
      <c r="E2" s="6" t="s">
        <v>4</v>
      </c>
      <c r="F2" s="16" t="s">
        <v>7</v>
      </c>
      <c r="G2" s="16" t="s">
        <v>81</v>
      </c>
      <c r="I2" s="26" t="s">
        <v>4</v>
      </c>
      <c r="J2" s="27" t="s">
        <v>82</v>
      </c>
      <c r="L2" s="99" t="s">
        <v>83</v>
      </c>
      <c r="M2" s="100">
        <f>+C7</f>
        <v>7193.7116692708332</v>
      </c>
    </row>
    <row r="3" spans="1:20" ht="15" thickBot="1" x14ac:dyDescent="0.4">
      <c r="B3" s="1" t="s">
        <v>9</v>
      </c>
      <c r="C3" s="44">
        <v>40</v>
      </c>
      <c r="E3" s="8" t="s">
        <v>84</v>
      </c>
      <c r="F3" s="17">
        <f>+Costos!E10</f>
        <v>4810</v>
      </c>
      <c r="G3" s="17">
        <f>+F3*1.22</f>
        <v>5868.2</v>
      </c>
      <c r="I3" s="88" t="s">
        <v>11</v>
      </c>
      <c r="J3" s="89">
        <f>+G11</f>
        <v>10009.938670833333</v>
      </c>
      <c r="L3" s="99" t="s">
        <v>85</v>
      </c>
      <c r="M3" s="100">
        <f>+C14</f>
        <v>0</v>
      </c>
    </row>
    <row r="4" spans="1:20" ht="15" thickBot="1" x14ac:dyDescent="0.4">
      <c r="B4" s="1" t="s">
        <v>12</v>
      </c>
      <c r="C4" s="45">
        <v>0.25</v>
      </c>
      <c r="E4" s="8" t="s">
        <v>86</v>
      </c>
      <c r="F4" s="17">
        <f>+Costos!I21/2</f>
        <v>3760.421041666667</v>
      </c>
      <c r="G4" s="17">
        <f>+Costos!J21/2</f>
        <v>3797.0886708333333</v>
      </c>
      <c r="I4" s="28" t="s">
        <v>14</v>
      </c>
      <c r="J4" s="90">
        <f>0.3*C2*1000</f>
        <v>1500</v>
      </c>
      <c r="L4" s="99" t="s">
        <v>22</v>
      </c>
      <c r="M4" s="101">
        <f>SUM(M2:M3)</f>
        <v>7193.7116692708332</v>
      </c>
    </row>
    <row r="5" spans="1:20" ht="15" thickBot="1" x14ac:dyDescent="0.4">
      <c r="B5" s="1" t="s">
        <v>15</v>
      </c>
      <c r="C5" s="45">
        <v>0.2</v>
      </c>
      <c r="E5" s="8" t="s">
        <v>87</v>
      </c>
      <c r="F5" s="17">
        <f>+Costos!M11</f>
        <v>282.5</v>
      </c>
      <c r="G5" s="17">
        <f>+F5*1.22</f>
        <v>344.65</v>
      </c>
      <c r="I5" s="28" t="s">
        <v>17</v>
      </c>
      <c r="J5" s="90">
        <f>+(J3+J4)*C4</f>
        <v>2877.4846677083333</v>
      </c>
      <c r="L5" s="99" t="s">
        <v>88</v>
      </c>
      <c r="M5" s="100">
        <f>-G11</f>
        <v>-10009.938670833333</v>
      </c>
    </row>
    <row r="6" spans="1:20" ht="15" thickBot="1" x14ac:dyDescent="0.4">
      <c r="B6" s="1" t="s">
        <v>18</v>
      </c>
      <c r="C6" s="92">
        <f>+G11-C7</f>
        <v>2816.2270015624999</v>
      </c>
      <c r="E6" s="8"/>
      <c r="F6" s="17"/>
      <c r="G6" s="17"/>
      <c r="I6" s="28" t="s">
        <v>89</v>
      </c>
      <c r="J6" s="90">
        <f>IF(C10="Si",SUM(J3:J5)/19,0)</f>
        <v>0</v>
      </c>
      <c r="K6">
        <f>+J6*C3</f>
        <v>0</v>
      </c>
      <c r="L6" s="99" t="s">
        <v>22</v>
      </c>
      <c r="M6" s="101">
        <f>SUM(M4:M5)</f>
        <v>-2816.2270015624999</v>
      </c>
    </row>
    <row r="7" spans="1:20" ht="15" thickBot="1" x14ac:dyDescent="0.4">
      <c r="B7" s="1" t="s">
        <v>90</v>
      </c>
      <c r="C7" s="93">
        <f>+J12/2</f>
        <v>7193.7116692708332</v>
      </c>
      <c r="E7" s="8"/>
      <c r="F7" s="17"/>
      <c r="G7" s="17"/>
      <c r="I7" s="95" t="s">
        <v>22</v>
      </c>
      <c r="J7" s="96">
        <f>+SUM(J3:J6)</f>
        <v>14387.423338541666</v>
      </c>
      <c r="L7" s="99" t="s">
        <v>91</v>
      </c>
      <c r="M7" s="100">
        <f>+J12-C7</f>
        <v>7193.7116692708332</v>
      </c>
    </row>
    <row r="8" spans="1:20" ht="15" thickBot="1" x14ac:dyDescent="0.4">
      <c r="B8" s="1" t="s">
        <v>20</v>
      </c>
      <c r="C8" s="44">
        <v>90</v>
      </c>
      <c r="E8" s="8"/>
      <c r="F8" s="17"/>
      <c r="G8" s="17"/>
      <c r="I8" s="28"/>
      <c r="J8" s="90"/>
      <c r="L8" s="99" t="s">
        <v>92</v>
      </c>
      <c r="M8" s="102">
        <f>-J4</f>
        <v>-1500</v>
      </c>
    </row>
    <row r="9" spans="1:20" ht="15" thickBot="1" x14ac:dyDescent="0.4">
      <c r="B9" s="1" t="s">
        <v>84</v>
      </c>
      <c r="C9" s="44" t="s">
        <v>93</v>
      </c>
      <c r="E9" s="118"/>
      <c r="F9" s="119"/>
      <c r="G9" s="119"/>
      <c r="I9" s="120"/>
      <c r="J9" s="121"/>
      <c r="L9" s="99"/>
      <c r="M9" s="102"/>
    </row>
    <row r="10" spans="1:20" ht="15" thickBot="1" x14ac:dyDescent="0.4">
      <c r="B10" s="1" t="s">
        <v>94</v>
      </c>
      <c r="C10" s="44" t="s">
        <v>95</v>
      </c>
      <c r="E10" s="9"/>
      <c r="F10" s="18"/>
      <c r="G10" s="18"/>
      <c r="I10" s="30"/>
      <c r="J10" s="91"/>
      <c r="L10" s="99" t="s">
        <v>22</v>
      </c>
      <c r="M10" s="101">
        <f>SUM(M6:M8)</f>
        <v>2877.4846677083333</v>
      </c>
      <c r="R10" t="s">
        <v>96</v>
      </c>
      <c r="S10">
        <v>2200</v>
      </c>
      <c r="T10">
        <f>+S10*4</f>
        <v>8800</v>
      </c>
    </row>
    <row r="11" spans="1:20" ht="15" thickBot="1" x14ac:dyDescent="0.4">
      <c r="E11" s="2" t="s">
        <v>97</v>
      </c>
      <c r="F11" s="13">
        <f>+SUM(F3:F10)</f>
        <v>8852.9210416666665</v>
      </c>
      <c r="G11" s="13">
        <f>+SUM(G3:G10)</f>
        <v>10009.938670833333</v>
      </c>
      <c r="I11" s="86" t="s">
        <v>77</v>
      </c>
      <c r="J11" s="87">
        <f>+J7</f>
        <v>14387.423338541666</v>
      </c>
      <c r="K11" s="116">
        <f>+J11/20</f>
        <v>719.37116692708332</v>
      </c>
      <c r="L11" s="99" t="s">
        <v>98</v>
      </c>
      <c r="M11" s="100">
        <f>-C14-C16</f>
        <v>0</v>
      </c>
      <c r="R11" t="s">
        <v>99</v>
      </c>
      <c r="S11">
        <v>2000</v>
      </c>
      <c r="T11">
        <f>+S11*4</f>
        <v>8000</v>
      </c>
    </row>
    <row r="12" spans="1:20" ht="15" thickBot="1" x14ac:dyDescent="0.4">
      <c r="B12" s="304" t="s">
        <v>25</v>
      </c>
      <c r="C12" s="305"/>
      <c r="G12" s="94"/>
      <c r="I12" s="11" t="s">
        <v>100</v>
      </c>
      <c r="J12" s="12">
        <f>+J11</f>
        <v>14387.423338541666</v>
      </c>
      <c r="L12" s="99" t="s">
        <v>22</v>
      </c>
      <c r="M12" s="101">
        <f>SUM(M10:M11)</f>
        <v>2877.4846677083333</v>
      </c>
      <c r="R12" t="s">
        <v>101</v>
      </c>
      <c r="T12">
        <v>1500</v>
      </c>
    </row>
    <row r="13" spans="1:20" ht="15" thickBot="1" x14ac:dyDescent="0.4">
      <c r="B13" s="306"/>
      <c r="C13" s="307"/>
      <c r="L13" s="99" t="s">
        <v>102</v>
      </c>
      <c r="M13" s="100">
        <f>-J8</f>
        <v>0</v>
      </c>
      <c r="R13" t="s">
        <v>103</v>
      </c>
      <c r="T13">
        <v>10000</v>
      </c>
    </row>
    <row r="14" spans="1:20" ht="15" thickBot="1" x14ac:dyDescent="0.4">
      <c r="A14" s="305" t="s">
        <v>27</v>
      </c>
      <c r="B14" s="19" t="s">
        <v>28</v>
      </c>
      <c r="C14" s="20">
        <f>G11-C7-C6</f>
        <v>0</v>
      </c>
      <c r="E14" s="34" t="s">
        <v>32</v>
      </c>
      <c r="F14" s="35">
        <v>800</v>
      </c>
      <c r="I14" s="50" t="s">
        <v>34</v>
      </c>
      <c r="J14" s="53">
        <v>2200</v>
      </c>
      <c r="L14" s="99" t="s">
        <v>104</v>
      </c>
      <c r="M14" s="100"/>
      <c r="T14">
        <f>SUM(T10:T13)</f>
        <v>28300</v>
      </c>
    </row>
    <row r="15" spans="1:20" x14ac:dyDescent="0.35">
      <c r="A15" s="297"/>
      <c r="B15" s="19" t="s">
        <v>30</v>
      </c>
      <c r="C15" s="32">
        <f>+C14/G11</f>
        <v>0</v>
      </c>
      <c r="E15" s="37" t="s">
        <v>36</v>
      </c>
      <c r="F15" s="38">
        <v>500</v>
      </c>
      <c r="G15" s="107"/>
      <c r="I15" s="50" t="s">
        <v>38</v>
      </c>
      <c r="J15" s="53">
        <f>+J14/$C$3</f>
        <v>55</v>
      </c>
      <c r="L15" s="99" t="s">
        <v>105</v>
      </c>
      <c r="M15" s="100">
        <f>-J10</f>
        <v>0</v>
      </c>
      <c r="O15" s="110"/>
    </row>
    <row r="16" spans="1:20" ht="15" thickBot="1" x14ac:dyDescent="0.4">
      <c r="A16" s="297"/>
      <c r="B16" s="21" t="s">
        <v>31</v>
      </c>
      <c r="C16" s="22">
        <f>C14*C5*C8/365</f>
        <v>0</v>
      </c>
      <c r="E16" s="40" t="s">
        <v>40</v>
      </c>
      <c r="F16" s="41">
        <v>350</v>
      </c>
      <c r="I16" s="50"/>
      <c r="J16" s="50"/>
      <c r="L16" s="99" t="s">
        <v>106</v>
      </c>
      <c r="M16" s="100">
        <f>SUM(M12:M15)</f>
        <v>2877.4846677083333</v>
      </c>
    </row>
    <row r="17" spans="1:12" ht="15" customHeight="1" thickBot="1" x14ac:dyDescent="0.4">
      <c r="A17" s="297"/>
      <c r="B17" s="23" t="s">
        <v>35</v>
      </c>
      <c r="C17" s="47" t="e">
        <f>C16/C14</f>
        <v>#DIV/0!</v>
      </c>
      <c r="E17" s="34" t="s">
        <v>42</v>
      </c>
      <c r="F17" s="35">
        <f>+F20*F14</f>
        <v>24000</v>
      </c>
      <c r="I17" s="105" t="s">
        <v>107</v>
      </c>
      <c r="J17" s="104">
        <f>+J12/J15</f>
        <v>261.5895152462121</v>
      </c>
    </row>
    <row r="18" spans="1:12" ht="15" thickBot="1" x14ac:dyDescent="0.4">
      <c r="A18" s="297"/>
      <c r="B18" s="23" t="s">
        <v>39</v>
      </c>
      <c r="C18" s="47" t="e">
        <f>(365/C8)*C17</f>
        <v>#DIV/0!</v>
      </c>
      <c r="E18" s="37" t="s">
        <v>46</v>
      </c>
      <c r="F18" s="38">
        <f>+F21*F15</f>
        <v>40000</v>
      </c>
      <c r="I18" s="52" t="s">
        <v>108</v>
      </c>
      <c r="J18" s="103">
        <f>+J17/12</f>
        <v>21.799126270517675</v>
      </c>
    </row>
    <row r="19" spans="1:12" ht="15" customHeight="1" thickBot="1" x14ac:dyDescent="0.4">
      <c r="A19" s="43"/>
      <c r="B19" s="43"/>
      <c r="C19" s="43"/>
      <c r="E19" s="40" t="s">
        <v>48</v>
      </c>
      <c r="F19" s="41">
        <f>+F22*F16</f>
        <v>28000</v>
      </c>
      <c r="I19" s="50" t="s">
        <v>51</v>
      </c>
      <c r="J19" s="54">
        <f>+J15*12</f>
        <v>660</v>
      </c>
    </row>
    <row r="20" spans="1:12" ht="15" thickBot="1" x14ac:dyDescent="0.4">
      <c r="A20" s="297" t="s">
        <v>44</v>
      </c>
      <c r="B20" s="46" t="s">
        <v>45</v>
      </c>
      <c r="C20" s="32">
        <f>+C6/G11</f>
        <v>0.28134308252740248</v>
      </c>
      <c r="E20" s="34" t="s">
        <v>33</v>
      </c>
      <c r="F20" s="36">
        <f>6*C2</f>
        <v>30</v>
      </c>
      <c r="G20">
        <v>150000</v>
      </c>
      <c r="I20" s="52" t="s">
        <v>39</v>
      </c>
      <c r="J20" s="55">
        <f>+J19/J12</f>
        <v>4.587339820827839E-2</v>
      </c>
      <c r="L20" s="72"/>
    </row>
    <row r="21" spans="1:12" ht="15" thickBot="1" x14ac:dyDescent="0.4">
      <c r="A21" s="297"/>
      <c r="B21" s="24" t="s">
        <v>47</v>
      </c>
      <c r="C21" s="25">
        <f>J5-C16-J10</f>
        <v>2877.4846677083333</v>
      </c>
      <c r="E21" s="37" t="s">
        <v>37</v>
      </c>
      <c r="F21" s="39">
        <f>+F22</f>
        <v>80</v>
      </c>
      <c r="G21">
        <v>70000</v>
      </c>
    </row>
    <row r="22" spans="1:12" ht="15" thickBot="1" x14ac:dyDescent="0.4">
      <c r="A22" s="297"/>
      <c r="B22" s="33" t="s">
        <v>50</v>
      </c>
      <c r="C22" s="57">
        <f>IF(C6&gt;0,C21/C6,"inf")</f>
        <v>1.0217516791479686</v>
      </c>
      <c r="E22" s="40" t="s">
        <v>41</v>
      </c>
      <c r="F22" s="42">
        <f>+C2*C26*2</f>
        <v>80</v>
      </c>
      <c r="G22">
        <v>50000</v>
      </c>
      <c r="I22" s="108" t="s">
        <v>109</v>
      </c>
      <c r="J22" s="111">
        <f>+J12/C2/1000</f>
        <v>2.8774846677083334</v>
      </c>
    </row>
    <row r="23" spans="1:12" ht="15" thickBot="1" x14ac:dyDescent="0.4">
      <c r="A23" s="297"/>
      <c r="B23" s="23" t="s">
        <v>39</v>
      </c>
      <c r="C23" s="47">
        <f>(365/C8)*C22</f>
        <v>4.1437706987667617</v>
      </c>
      <c r="E23" s="51">
        <f>+F17/$C$3</f>
        <v>600</v>
      </c>
      <c r="J23" s="94"/>
    </row>
    <row r="24" spans="1:12" x14ac:dyDescent="0.35">
      <c r="E24" s="51">
        <f>+F18/$C$3</f>
        <v>1000</v>
      </c>
    </row>
    <row r="25" spans="1:12" ht="15" thickBot="1" x14ac:dyDescent="0.4">
      <c r="E25" s="51">
        <f>+F19/$C$3</f>
        <v>700</v>
      </c>
      <c r="J25" s="106"/>
    </row>
    <row r="26" spans="1:12" ht="15" thickBot="1" x14ac:dyDescent="0.4">
      <c r="B26" s="108" t="s">
        <v>110</v>
      </c>
      <c r="C26" s="109">
        <v>8</v>
      </c>
      <c r="J26" s="67"/>
    </row>
  </sheetData>
  <sheetProtection selectLockedCells="1"/>
  <mergeCells count="7">
    <mergeCell ref="A20:A23"/>
    <mergeCell ref="B1:C1"/>
    <mergeCell ref="E1:G1"/>
    <mergeCell ref="I1:J1"/>
    <mergeCell ref="L1:M1"/>
    <mergeCell ref="B12:C13"/>
    <mergeCell ref="A14:A1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02E8C6-1E18-42EB-99C4-618181712C24}">
          <x14:formula1>
            <xm:f>'Detalle costos'!$P$61:$P$64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AJ66"/>
  <sheetViews>
    <sheetView tabSelected="1" zoomScale="55" zoomScaleNormal="98" zoomScaleSheetLayoutView="50" workbookViewId="0">
      <selection activeCell="C12" sqref="C12"/>
    </sheetView>
  </sheetViews>
  <sheetFormatPr baseColWidth="10" defaultColWidth="8.7265625" defaultRowHeight="15" customHeight="1" x14ac:dyDescent="0.35"/>
  <cols>
    <col min="1" max="1" width="11.26953125" customWidth="1"/>
    <col min="2" max="2" width="27.453125" bestFit="1" customWidth="1"/>
    <col min="3" max="3" width="26.453125" bestFit="1" customWidth="1"/>
    <col min="4" max="4" width="3.453125" customWidth="1"/>
    <col min="5" max="5" width="26.1796875" bestFit="1" customWidth="1"/>
    <col min="6" max="6" width="14.7265625" customWidth="1"/>
    <col min="7" max="7" width="13.1796875" customWidth="1"/>
    <col min="8" max="8" width="6" customWidth="1"/>
    <col min="9" max="9" width="19" bestFit="1" customWidth="1"/>
    <col min="10" max="10" width="13.54296875" bestFit="1" customWidth="1"/>
    <col min="11" max="11" width="6.453125" customWidth="1"/>
    <col min="12" max="12" width="22.453125" bestFit="1" customWidth="1"/>
    <col min="13" max="13" width="11.453125" bestFit="1" customWidth="1"/>
    <col min="14" max="14" width="3.453125" customWidth="1"/>
    <col min="15" max="15" width="13" customWidth="1"/>
    <col min="16" max="16" width="12.7265625" customWidth="1"/>
    <col min="17" max="17" width="14" customWidth="1"/>
    <col min="18" max="18" width="12.7265625" customWidth="1"/>
    <col min="19" max="21" width="8.7265625" customWidth="1"/>
    <col min="22" max="22" width="22.453125" bestFit="1" customWidth="1"/>
    <col min="23" max="23" width="6.7265625" bestFit="1" customWidth="1"/>
    <col min="24" max="24" width="8" customWidth="1"/>
    <col min="33" max="33" width="16" bestFit="1" customWidth="1"/>
    <col min="34" max="34" width="28.81640625" bestFit="1" customWidth="1"/>
    <col min="35" max="35" width="18.26953125" bestFit="1" customWidth="1"/>
  </cols>
  <sheetData>
    <row r="1" spans="1:36" ht="22" customHeight="1" x14ac:dyDescent="0.35">
      <c r="B1" s="282" t="s">
        <v>0</v>
      </c>
      <c r="C1" s="283"/>
      <c r="E1" s="284" t="s">
        <v>1</v>
      </c>
      <c r="F1" s="285"/>
      <c r="G1" s="285"/>
      <c r="I1" s="280" t="s">
        <v>2</v>
      </c>
      <c r="J1" s="281"/>
      <c r="L1" s="279" t="s">
        <v>80</v>
      </c>
      <c r="M1" s="279"/>
      <c r="O1" s="272" t="s">
        <v>111</v>
      </c>
      <c r="P1" s="272" t="s">
        <v>112</v>
      </c>
    </row>
    <row r="2" spans="1:36" ht="43.5" x14ac:dyDescent="0.35">
      <c r="A2" s="286" t="s">
        <v>113</v>
      </c>
      <c r="B2" s="227" t="s">
        <v>114</v>
      </c>
      <c r="C2" s="223" t="s">
        <v>464</v>
      </c>
      <c r="E2" s="6" t="s">
        <v>4</v>
      </c>
      <c r="F2" s="16" t="s">
        <v>7</v>
      </c>
      <c r="G2" s="16" t="s">
        <v>81</v>
      </c>
      <c r="I2" s="26" t="s">
        <v>4</v>
      </c>
      <c r="J2" s="27" t="s">
        <v>8</v>
      </c>
      <c r="L2" s="99" t="s">
        <v>83</v>
      </c>
      <c r="M2" s="100">
        <f>+F24</f>
        <v>6423.0711493500003</v>
      </c>
      <c r="O2" s="273"/>
      <c r="P2" s="274"/>
      <c r="Q2" s="258" t="s">
        <v>115</v>
      </c>
      <c r="R2">
        <v>4</v>
      </c>
      <c r="V2" s="34" t="s">
        <v>116</v>
      </c>
      <c r="W2" s="228">
        <v>814</v>
      </c>
      <c r="AG2" s="114"/>
      <c r="AH2" s="114"/>
      <c r="AI2" s="114"/>
    </row>
    <row r="3" spans="1:36" ht="17.5" customHeight="1" x14ac:dyDescent="0.35">
      <c r="A3" s="287"/>
      <c r="B3" s="24" t="s">
        <v>117</v>
      </c>
      <c r="C3" s="213" t="s">
        <v>465</v>
      </c>
      <c r="E3" s="8" t="s">
        <v>84</v>
      </c>
      <c r="F3" s="17">
        <f>+Costos!E10</f>
        <v>4810</v>
      </c>
      <c r="G3" s="17">
        <f>+F3*1.22</f>
        <v>5868.2</v>
      </c>
      <c r="I3" s="88" t="s">
        <v>11</v>
      </c>
      <c r="J3" s="89">
        <f>+F12</f>
        <v>6972.7105208333332</v>
      </c>
      <c r="L3" s="99" t="s">
        <v>88</v>
      </c>
      <c r="M3" s="100">
        <f>-G12</f>
        <v>-8111.3943354166659</v>
      </c>
      <c r="O3" s="229">
        <v>4000</v>
      </c>
      <c r="P3" s="230">
        <v>8</v>
      </c>
      <c r="Q3" t="s">
        <v>118</v>
      </c>
      <c r="R3" s="266">
        <f>+R2*M12</f>
        <v>6499.7684166666695</v>
      </c>
      <c r="S3">
        <v>12</v>
      </c>
      <c r="T3">
        <v>2</v>
      </c>
      <c r="U3" cm="1">
        <f t="array" ref="U3">+_xlfn.IFS(C14&lt;=S3,T3,C14&lt;=S4,T4,C14&lt;=S5,T5,C14&lt;=S6,T6,C14&lt;=S7,T7,C14&lt;=S8,T8,C14&gt;S8,8)</f>
        <v>2</v>
      </c>
      <c r="V3" s="37" t="s">
        <v>119</v>
      </c>
      <c r="W3" s="231">
        <v>947</v>
      </c>
      <c r="X3" s="232"/>
      <c r="AG3" s="114" t="s">
        <v>120</v>
      </c>
      <c r="AH3" s="114" t="s">
        <v>121</v>
      </c>
      <c r="AI3" s="114" t="s">
        <v>122</v>
      </c>
      <c r="AJ3" t="s">
        <v>123</v>
      </c>
    </row>
    <row r="4" spans="1:36" ht="14.5" x14ac:dyDescent="0.35">
      <c r="A4" s="288"/>
      <c r="B4" s="24" t="s">
        <v>124</v>
      </c>
      <c r="C4" s="213" t="s">
        <v>125</v>
      </c>
      <c r="E4" s="8" t="s">
        <v>86</v>
      </c>
      <c r="F4" s="17">
        <f>+Costos!I21/R2</f>
        <v>1880.2105208333335</v>
      </c>
      <c r="G4" s="17">
        <f>+Costos!J21/R2</f>
        <v>1898.5443354166666</v>
      </c>
      <c r="I4" s="28" t="s">
        <v>14</v>
      </c>
      <c r="J4" s="226">
        <f>+(W2+W3+W4)*10*U3/C12</f>
        <v>1152</v>
      </c>
      <c r="L4" s="99" t="s">
        <v>22</v>
      </c>
      <c r="M4" s="101">
        <f>+M2+M3</f>
        <v>-1688.3231860666656</v>
      </c>
      <c r="O4" s="229">
        <v>5000</v>
      </c>
      <c r="P4" s="230">
        <v>10</v>
      </c>
      <c r="S4">
        <v>18</v>
      </c>
      <c r="T4">
        <v>3</v>
      </c>
      <c r="V4" s="40" t="s">
        <v>40</v>
      </c>
      <c r="W4" s="233">
        <v>543</v>
      </c>
      <c r="X4" s="232"/>
      <c r="AG4" s="114" t="s">
        <v>126</v>
      </c>
      <c r="AH4" s="114" t="s">
        <v>127</v>
      </c>
      <c r="AI4" s="114" t="s">
        <v>128</v>
      </c>
      <c r="AJ4" t="s">
        <v>95</v>
      </c>
    </row>
    <row r="5" spans="1:36" ht="14.5" x14ac:dyDescent="0.35">
      <c r="A5" s="289" t="s">
        <v>129</v>
      </c>
      <c r="B5" s="24" t="s">
        <v>130</v>
      </c>
      <c r="C5" s="215">
        <v>6000</v>
      </c>
      <c r="E5" s="8" t="s">
        <v>87</v>
      </c>
      <c r="F5" s="17">
        <f>+Costos!M11</f>
        <v>282.5</v>
      </c>
      <c r="G5" s="17">
        <f>+F5*1.22</f>
        <v>344.65</v>
      </c>
      <c r="I5" s="28" t="s">
        <v>131</v>
      </c>
      <c r="J5" s="90">
        <f>+(J3+J4)*C13</f>
        <v>1624.9421041666667</v>
      </c>
      <c r="L5" s="99" t="s">
        <v>91</v>
      </c>
      <c r="M5" s="100">
        <f>+J13-F24</f>
        <v>6423.0711493500003</v>
      </c>
      <c r="O5" s="229">
        <v>6000</v>
      </c>
      <c r="P5" s="230">
        <v>10</v>
      </c>
      <c r="S5">
        <v>30</v>
      </c>
      <c r="T5">
        <v>4</v>
      </c>
      <c r="V5" s="34" t="s">
        <v>42</v>
      </c>
      <c r="W5" s="228">
        <f>+W10*W2</f>
        <v>0</v>
      </c>
    </row>
    <row r="6" spans="1:36" ht="14.5" x14ac:dyDescent="0.35">
      <c r="A6" s="290"/>
      <c r="B6" s="24" t="s">
        <v>132</v>
      </c>
      <c r="C6" s="213" t="s">
        <v>333</v>
      </c>
      <c r="E6" s="8"/>
      <c r="F6" s="17"/>
      <c r="G6" s="17"/>
      <c r="I6" s="28" t="s">
        <v>134</v>
      </c>
      <c r="J6" s="90">
        <f>+(J3+J4+J5)/25</f>
        <v>389.98610500000001</v>
      </c>
      <c r="L6" s="99" t="s">
        <v>92</v>
      </c>
      <c r="M6" s="102">
        <f>-J4</f>
        <v>-1152</v>
      </c>
      <c r="O6" s="229">
        <v>7000</v>
      </c>
      <c r="P6" s="230">
        <v>12</v>
      </c>
      <c r="S6">
        <v>50</v>
      </c>
      <c r="T6">
        <v>5</v>
      </c>
      <c r="V6" s="37" t="s">
        <v>46</v>
      </c>
      <c r="W6" s="231">
        <f>+W11*W3</f>
        <v>17046</v>
      </c>
    </row>
    <row r="7" spans="1:36" ht="14.5" x14ac:dyDescent="0.35">
      <c r="A7" s="290"/>
      <c r="B7" s="24" t="s">
        <v>135</v>
      </c>
      <c r="C7" s="213" t="s">
        <v>335</v>
      </c>
      <c r="E7" s="8"/>
      <c r="F7" s="17"/>
      <c r="G7" s="17"/>
      <c r="I7" s="28" t="s">
        <v>137</v>
      </c>
      <c r="J7" s="90">
        <f>+J6</f>
        <v>389.98610500000001</v>
      </c>
      <c r="L7" s="99" t="s">
        <v>22</v>
      </c>
      <c r="M7" s="101">
        <f>+SUM(M4:M6)</f>
        <v>3582.7479632833347</v>
      </c>
      <c r="O7" s="229">
        <v>8000</v>
      </c>
      <c r="P7" s="230">
        <v>12</v>
      </c>
      <c r="S7">
        <v>75</v>
      </c>
      <c r="T7">
        <v>6</v>
      </c>
      <c r="V7" s="40" t="s">
        <v>48</v>
      </c>
      <c r="W7" s="233">
        <f>+W12*W4</f>
        <v>9774</v>
      </c>
    </row>
    <row r="8" spans="1:36" ht="14.5" x14ac:dyDescent="0.35">
      <c r="A8" s="290"/>
      <c r="B8" s="24" t="s">
        <v>138</v>
      </c>
      <c r="C8" s="214">
        <v>7</v>
      </c>
      <c r="E8" s="8"/>
      <c r="F8" s="17"/>
      <c r="G8" s="17"/>
      <c r="I8" s="28"/>
      <c r="J8" s="90"/>
      <c r="L8" s="99" t="s">
        <v>102</v>
      </c>
      <c r="M8" s="100">
        <f>-J13+J12</f>
        <v>-2316.5174637</v>
      </c>
      <c r="O8" s="229">
        <v>9000</v>
      </c>
      <c r="P8" s="230">
        <v>14</v>
      </c>
      <c r="S8">
        <v>100</v>
      </c>
      <c r="T8">
        <v>7</v>
      </c>
      <c r="V8" s="234"/>
      <c r="W8" s="235"/>
    </row>
    <row r="9" spans="1:36" ht="14.5" x14ac:dyDescent="0.35">
      <c r="A9" s="291" t="s">
        <v>139</v>
      </c>
      <c r="B9" s="265" t="s">
        <v>140</v>
      </c>
      <c r="C9" s="213" t="s">
        <v>467</v>
      </c>
      <c r="E9" s="118"/>
      <c r="F9" s="119"/>
      <c r="G9" s="119"/>
      <c r="I9" s="95" t="s">
        <v>22</v>
      </c>
      <c r="J9" s="96">
        <f>+SUM(J3:J7)</f>
        <v>10529.624835000001</v>
      </c>
      <c r="L9" s="99" t="s">
        <v>104</v>
      </c>
      <c r="M9" s="100">
        <f>+G12-F12</f>
        <v>1138.6838145833326</v>
      </c>
      <c r="O9" s="229"/>
      <c r="P9" s="230"/>
      <c r="V9" s="234"/>
      <c r="W9" s="235"/>
    </row>
    <row r="10" spans="1:36" ht="15" customHeight="1" x14ac:dyDescent="0.35">
      <c r="A10" s="292"/>
      <c r="B10" s="265" t="s">
        <v>141</v>
      </c>
      <c r="C10" s="213">
        <v>50</v>
      </c>
      <c r="E10" s="118"/>
      <c r="F10" s="119"/>
      <c r="G10" s="119"/>
      <c r="I10" s="28" t="s">
        <v>24</v>
      </c>
      <c r="J10" s="90">
        <f>+J9*0.22</f>
        <v>2316.5174637</v>
      </c>
      <c r="L10" s="99" t="s">
        <v>142</v>
      </c>
      <c r="M10" s="100">
        <f>-J6</f>
        <v>-389.98610500000001</v>
      </c>
      <c r="O10" s="229">
        <v>10000</v>
      </c>
      <c r="P10" s="230">
        <v>14</v>
      </c>
      <c r="V10" s="34" t="s">
        <v>33</v>
      </c>
      <c r="W10" s="36"/>
    </row>
    <row r="11" spans="1:36" ht="14.5" x14ac:dyDescent="0.35">
      <c r="A11" s="291" t="s">
        <v>143</v>
      </c>
      <c r="B11" s="265" t="s">
        <v>144</v>
      </c>
      <c r="C11" s="216">
        <v>35</v>
      </c>
      <c r="E11" s="9"/>
      <c r="F11" s="18"/>
      <c r="G11" s="18"/>
      <c r="I11" s="30"/>
      <c r="J11" s="91"/>
      <c r="L11" s="99" t="s">
        <v>145</v>
      </c>
      <c r="M11" s="100">
        <f>-J7</f>
        <v>-389.98610500000001</v>
      </c>
      <c r="O11" s="229">
        <v>11000</v>
      </c>
      <c r="P11" s="230">
        <v>16</v>
      </c>
      <c r="V11" s="37" t="s">
        <v>37</v>
      </c>
      <c r="W11" s="39">
        <v>18</v>
      </c>
      <c r="X11">
        <v>2</v>
      </c>
    </row>
    <row r="12" spans="1:36" ht="14.5" x14ac:dyDescent="0.35">
      <c r="A12" s="292"/>
      <c r="B12" s="265" t="s">
        <v>146</v>
      </c>
      <c r="C12" s="216">
        <v>40</v>
      </c>
      <c r="E12" s="2" t="s">
        <v>97</v>
      </c>
      <c r="F12" s="13">
        <f>+SUM(F3:F11)</f>
        <v>6972.7105208333332</v>
      </c>
      <c r="G12" s="13">
        <f>+SUM(G3:G11)</f>
        <v>8111.3943354166659</v>
      </c>
      <c r="I12" s="86" t="s">
        <v>77</v>
      </c>
      <c r="J12" s="87">
        <f>+J9</f>
        <v>10529.624835000001</v>
      </c>
      <c r="K12" s="116"/>
      <c r="L12" s="99" t="s">
        <v>106</v>
      </c>
      <c r="M12" s="101">
        <f>+SUM(M7:M11)</f>
        <v>1624.9421041666674</v>
      </c>
      <c r="O12" s="229">
        <v>12000</v>
      </c>
      <c r="P12" s="230">
        <v>16</v>
      </c>
      <c r="V12" s="40" t="s">
        <v>41</v>
      </c>
      <c r="W12" s="42">
        <v>18</v>
      </c>
      <c r="X12">
        <v>0.75</v>
      </c>
    </row>
    <row r="13" spans="1:36" ht="15" customHeight="1" x14ac:dyDescent="0.35">
      <c r="A13" s="292"/>
      <c r="B13" s="265" t="s">
        <v>147</v>
      </c>
      <c r="C13" s="217">
        <v>0.2</v>
      </c>
      <c r="F13" s="94"/>
      <c r="G13" s="94"/>
      <c r="I13" s="11" t="s">
        <v>100</v>
      </c>
      <c r="J13" s="12">
        <f>+J12*1.22</f>
        <v>12846.142298700001</v>
      </c>
    </row>
    <row r="14" spans="1:36" ht="14.5" x14ac:dyDescent="0.35">
      <c r="A14" s="293"/>
      <c r="B14" s="265" t="s">
        <v>148</v>
      </c>
      <c r="C14" s="224">
        <v>11</v>
      </c>
      <c r="E14" s="5" t="s">
        <v>149</v>
      </c>
      <c r="F14" s="236">
        <f>+C14*C15/1000</f>
        <v>6.49</v>
      </c>
      <c r="G14" s="94"/>
      <c r="L14" s="99" t="s">
        <v>17</v>
      </c>
      <c r="M14" s="237">
        <f>+M12/J12</f>
        <v>0.15432098765432103</v>
      </c>
    </row>
    <row r="15" spans="1:36" ht="29" x14ac:dyDescent="0.35">
      <c r="A15" s="268" t="s">
        <v>150</v>
      </c>
      <c r="B15" s="243" t="s">
        <v>151</v>
      </c>
      <c r="C15" s="219">
        <v>590</v>
      </c>
      <c r="E15" s="238" t="s">
        <v>152</v>
      </c>
      <c r="F15" s="239">
        <f>+C17*1000</f>
        <v>6000</v>
      </c>
    </row>
    <row r="16" spans="1:36" ht="14.5" x14ac:dyDescent="0.35">
      <c r="A16" s="269"/>
      <c r="B16" s="243" t="s">
        <v>153</v>
      </c>
      <c r="C16" s="219" t="s">
        <v>463</v>
      </c>
      <c r="E16" s="240" t="s">
        <v>154</v>
      </c>
      <c r="F16" s="241">
        <f>+'Financiacion BBVA'!C11</f>
        <v>22450.239434765586</v>
      </c>
      <c r="I16" s="50" t="s">
        <v>34</v>
      </c>
      <c r="J16" s="225">
        <f>+IF(C6="Simple",F14*1000*1.05,F14*1000*0.88)</f>
        <v>6814.5</v>
      </c>
      <c r="L16" s="275" t="str">
        <f>+IF(C10&gt;=F23,AG3,AG4)</f>
        <v>Verifica Techo</v>
      </c>
      <c r="M16" s="276"/>
      <c r="P16" s="247"/>
      <c r="Q16">
        <v>4</v>
      </c>
      <c r="R16">
        <v>3258</v>
      </c>
      <c r="V16" t="s">
        <v>155</v>
      </c>
      <c r="W16">
        <v>56500</v>
      </c>
      <c r="X16" s="258">
        <f>+W16*0.8</f>
        <v>45200</v>
      </c>
      <c r="Y16">
        <v>10000</v>
      </c>
      <c r="Z16">
        <f>+W16*1.085</f>
        <v>61302.5</v>
      </c>
      <c r="AA16">
        <f>+Z16+Y16</f>
        <v>71302.5</v>
      </c>
    </row>
    <row r="17" spans="1:28" ht="15" customHeight="1" x14ac:dyDescent="0.35">
      <c r="A17" s="269"/>
      <c r="B17" s="243" t="s">
        <v>156</v>
      </c>
      <c r="C17" s="220">
        <v>6</v>
      </c>
      <c r="E17" s="240" t="s">
        <v>157</v>
      </c>
      <c r="F17" s="241">
        <f>+'Financiacion BBVA'!E11</f>
        <v>15452.767306020658</v>
      </c>
      <c r="I17" s="50" t="s">
        <v>38</v>
      </c>
      <c r="J17" s="242">
        <f>+J16/$C$12</f>
        <v>170.36250000000001</v>
      </c>
      <c r="L17" s="275" t="str">
        <f>+IF(C8&gt;=F19,AH3,AH4)</f>
        <v>Verifica Potencia</v>
      </c>
      <c r="M17" s="276"/>
      <c r="Q17">
        <v>5</v>
      </c>
      <c r="R17">
        <v>6090</v>
      </c>
      <c r="V17" t="s">
        <v>158</v>
      </c>
      <c r="W17">
        <v>40000</v>
      </c>
      <c r="X17" s="258">
        <f>+W17*0.8</f>
        <v>32000</v>
      </c>
      <c r="Y17">
        <v>0</v>
      </c>
      <c r="Z17">
        <f>+W17*1.085</f>
        <v>43400</v>
      </c>
      <c r="AA17">
        <f t="shared" ref="AA17:AA18" si="0">+Z17+Y17</f>
        <v>43400</v>
      </c>
    </row>
    <row r="18" spans="1:28" ht="15" customHeight="1" x14ac:dyDescent="0.35">
      <c r="A18" s="269"/>
      <c r="B18" s="243" t="s">
        <v>159</v>
      </c>
      <c r="C18" s="219" t="s">
        <v>160</v>
      </c>
      <c r="E18" s="240" t="s">
        <v>161</v>
      </c>
      <c r="F18" s="241">
        <f>+'Financiacion BBVA'!G11</f>
        <v>10543.447675976968</v>
      </c>
      <c r="L18" s="277" t="str">
        <f>+IF(C5&gt;=F25,AI3,AI4)</f>
        <v>Verifica UTE</v>
      </c>
      <c r="M18" s="278"/>
      <c r="Q18">
        <v>6</v>
      </c>
      <c r="R18">
        <v>8501</v>
      </c>
      <c r="V18" t="s">
        <v>162</v>
      </c>
      <c r="W18">
        <v>60000</v>
      </c>
      <c r="X18" s="258">
        <f>+W18*0.8</f>
        <v>48000</v>
      </c>
      <c r="Y18">
        <v>10000</v>
      </c>
      <c r="Z18">
        <f>+W18*1.085</f>
        <v>65100</v>
      </c>
      <c r="AA18">
        <f t="shared" si="0"/>
        <v>75100</v>
      </c>
    </row>
    <row r="19" spans="1:28" ht="14.5" x14ac:dyDescent="0.35">
      <c r="A19" s="269"/>
      <c r="B19" s="243" t="s">
        <v>163</v>
      </c>
      <c r="C19" s="221">
        <f ca="1">+TODAY()</f>
        <v>46205</v>
      </c>
      <c r="E19" s="238" t="s">
        <v>164</v>
      </c>
      <c r="F19" s="244">
        <f>+MIN(C17,F14)</f>
        <v>6</v>
      </c>
      <c r="I19" s="105" t="s">
        <v>107</v>
      </c>
      <c r="J19" s="104">
        <f>+J13/J17</f>
        <v>75.404753385868361</v>
      </c>
      <c r="K19" s="104">
        <f>+J12/J17</f>
        <v>61.807174906449482</v>
      </c>
      <c r="Q19">
        <v>7</v>
      </c>
      <c r="R19">
        <v>11304</v>
      </c>
      <c r="AA19">
        <f>SUM(AA16:AA18)</f>
        <v>189802.5</v>
      </c>
      <c r="AB19">
        <f>+AA19/4</f>
        <v>47450.625</v>
      </c>
    </row>
    <row r="20" spans="1:28" ht="15" customHeight="1" x14ac:dyDescent="0.35">
      <c r="A20" s="257"/>
      <c r="B20" s="243" t="s">
        <v>165</v>
      </c>
      <c r="C20" s="222" t="s">
        <v>466</v>
      </c>
      <c r="E20" s="238" t="s">
        <v>166</v>
      </c>
      <c r="F20" s="239">
        <f>+F19*1000</f>
        <v>6000</v>
      </c>
      <c r="I20" s="52" t="s">
        <v>108</v>
      </c>
      <c r="J20" s="103">
        <f>+J19/12</f>
        <v>6.2837294488223634</v>
      </c>
      <c r="K20" s="103">
        <f>+K19/12</f>
        <v>5.1505979088707905</v>
      </c>
      <c r="Q20">
        <v>8</v>
      </c>
      <c r="R20">
        <v>13564</v>
      </c>
      <c r="AB20">
        <f>+AB19/40</f>
        <v>1186.265625</v>
      </c>
    </row>
    <row r="21" spans="1:28" ht="14.5" x14ac:dyDescent="0.35">
      <c r="E21" s="238" t="s">
        <v>167</v>
      </c>
      <c r="F21" s="239">
        <f>+C5-J16</f>
        <v>-814.5</v>
      </c>
      <c r="I21" s="50" t="s">
        <v>51</v>
      </c>
      <c r="J21" s="54">
        <f>+J17*12</f>
        <v>2044.3500000000001</v>
      </c>
      <c r="Q21">
        <v>9</v>
      </c>
      <c r="R21">
        <v>16537</v>
      </c>
    </row>
    <row r="22" spans="1:28" ht="15" customHeight="1" x14ac:dyDescent="0.35">
      <c r="E22" s="238" t="s">
        <v>168</v>
      </c>
      <c r="F22" s="239">
        <f>+ROUND(J20,0)</f>
        <v>6</v>
      </c>
      <c r="Q22">
        <v>10</v>
      </c>
      <c r="R22">
        <v>19239</v>
      </c>
    </row>
    <row r="23" spans="1:28" ht="15" customHeight="1" x14ac:dyDescent="0.35">
      <c r="E23" s="238" t="s">
        <v>54</v>
      </c>
      <c r="F23" s="239">
        <f>+C14*3</f>
        <v>33</v>
      </c>
      <c r="I23" s="52" t="s">
        <v>39</v>
      </c>
      <c r="J23" s="245">
        <f>+J21/J13</f>
        <v>0.15914116101663325</v>
      </c>
    </row>
    <row r="24" spans="1:28" ht="14.5" x14ac:dyDescent="0.35">
      <c r="E24" s="238" t="s">
        <v>90</v>
      </c>
      <c r="F24" s="239">
        <f>+J13/2</f>
        <v>6423.0711493500003</v>
      </c>
      <c r="I24" s="108" t="s">
        <v>109</v>
      </c>
      <c r="J24" s="111">
        <f>+J13/F14/1000</f>
        <v>1.9793747763790448</v>
      </c>
      <c r="L24" s="246"/>
    </row>
    <row r="25" spans="1:28" ht="14.5" x14ac:dyDescent="0.35">
      <c r="E25" s="238" t="s">
        <v>169</v>
      </c>
      <c r="F25" s="239">
        <f>+F14*900</f>
        <v>5841</v>
      </c>
    </row>
    <row r="26" spans="1:28" ht="14.5" x14ac:dyDescent="0.35">
      <c r="E26" s="238" t="s">
        <v>170</v>
      </c>
      <c r="F26" s="218">
        <f>+F14*1479</f>
        <v>9598.7100000000009</v>
      </c>
      <c r="J26" s="94"/>
      <c r="K26" s="48"/>
      <c r="M26" s="247"/>
    </row>
    <row r="27" spans="1:28" ht="14.5" x14ac:dyDescent="0.35">
      <c r="E27" s="238" t="s">
        <v>171</v>
      </c>
      <c r="F27" s="267">
        <f>+J16/C5</f>
        <v>1.13575</v>
      </c>
    </row>
    <row r="28" spans="1:28" ht="14.5" x14ac:dyDescent="0.35">
      <c r="F28" s="116"/>
    </row>
    <row r="29" spans="1:28" ht="14.5" x14ac:dyDescent="0.35">
      <c r="J29" s="106"/>
    </row>
    <row r="30" spans="1:28" ht="14.5" x14ac:dyDescent="0.35">
      <c r="J30" s="106"/>
    </row>
    <row r="31" spans="1:28" ht="14.5" x14ac:dyDescent="0.35">
      <c r="J31" s="106"/>
    </row>
    <row r="32" spans="1:28" ht="14.5" x14ac:dyDescent="0.35">
      <c r="J32" s="248"/>
      <c r="K32" s="116"/>
    </row>
    <row r="33" spans="2:11" ht="14.5" x14ac:dyDescent="0.35">
      <c r="J33" s="248"/>
      <c r="K33" s="116"/>
    </row>
    <row r="34" spans="2:11" ht="14.5" x14ac:dyDescent="0.35">
      <c r="J34" s="248"/>
      <c r="K34" s="116"/>
    </row>
    <row r="35" spans="2:11" ht="14.5" x14ac:dyDescent="0.35">
      <c r="B35" t="s">
        <v>172</v>
      </c>
      <c r="C35" s="249" t="str">
        <f>+C2</f>
        <v>José González</v>
      </c>
      <c r="J35" s="248"/>
      <c r="K35" s="116"/>
    </row>
    <row r="36" spans="2:11" ht="14.5" x14ac:dyDescent="0.35">
      <c r="B36" t="s">
        <v>173</v>
      </c>
      <c r="C36" s="249" t="str">
        <f>+C20</f>
        <v>Julio 2026</v>
      </c>
    </row>
    <row r="37" spans="2:11" ht="14.5" x14ac:dyDescent="0.35">
      <c r="B37" t="s">
        <v>163</v>
      </c>
      <c r="C37" s="250" t="str">
        <f ca="1">+TEXT(C19,"d ""de"" mmmm ""de""") &amp; " 2026"</f>
        <v>2 de julio de 2026</v>
      </c>
    </row>
    <row r="38" spans="2:11" ht="14.5" x14ac:dyDescent="0.35">
      <c r="B38" t="s">
        <v>174</v>
      </c>
      <c r="C38" s="249" t="str">
        <f>+C3</f>
        <v>Estimado José</v>
      </c>
    </row>
    <row r="39" spans="2:11" ht="14.5" x14ac:dyDescent="0.35">
      <c r="B39" t="s">
        <v>175</v>
      </c>
      <c r="C39" s="249" t="str">
        <f>+C4</f>
        <v>Montevideo, Uruguay.</v>
      </c>
    </row>
    <row r="40" spans="2:11" ht="14.5" x14ac:dyDescent="0.35">
      <c r="B40" t="s">
        <v>148</v>
      </c>
      <c r="C40" s="249">
        <f>+C14</f>
        <v>11</v>
      </c>
    </row>
    <row r="41" spans="2:11" ht="14.5" x14ac:dyDescent="0.35">
      <c r="B41" t="s">
        <v>176</v>
      </c>
      <c r="C41" s="249">
        <f>+C15</f>
        <v>590</v>
      </c>
    </row>
    <row r="42" spans="2:11" ht="14.5" x14ac:dyDescent="0.35">
      <c r="B42" t="s">
        <v>140</v>
      </c>
      <c r="C42" s="250" t="str">
        <f>+C9</f>
        <v>de hormigón de 8 x 4 mts.</v>
      </c>
    </row>
    <row r="43" spans="2:11" ht="14.5" x14ac:dyDescent="0.35">
      <c r="B43" t="s">
        <v>177</v>
      </c>
      <c r="C43" s="250">
        <f>+F23</f>
        <v>33</v>
      </c>
    </row>
    <row r="44" spans="2:11" ht="14.5" x14ac:dyDescent="0.35">
      <c r="B44" t="s">
        <v>178</v>
      </c>
      <c r="C44" s="251" t="str">
        <f>TEXT(F19, "#.##0")</f>
        <v>6</v>
      </c>
    </row>
    <row r="45" spans="2:11" ht="14.5" x14ac:dyDescent="0.35">
      <c r="B45" t="s">
        <v>170</v>
      </c>
      <c r="C45" s="250" t="str">
        <f>TEXT(F26, "#.##0")&amp; " kWh"</f>
        <v>9.599 kWh</v>
      </c>
    </row>
    <row r="46" spans="2:11" ht="14.5" x14ac:dyDescent="0.35">
      <c r="B46" t="s">
        <v>179</v>
      </c>
      <c r="C46" s="249" t="str">
        <f>+C16</f>
        <v>RESUN</v>
      </c>
    </row>
    <row r="47" spans="2:11" ht="14.5" x14ac:dyDescent="0.35">
      <c r="B47" t="s">
        <v>180</v>
      </c>
      <c r="C47" s="249" t="str">
        <f>+C18</f>
        <v>Growatt</v>
      </c>
    </row>
    <row r="48" spans="2:11" ht="14.5" x14ac:dyDescent="0.35">
      <c r="B48" t="s">
        <v>181</v>
      </c>
      <c r="C48" s="251">
        <f>+C17</f>
        <v>6</v>
      </c>
    </row>
    <row r="49" spans="2:3" ht="14.5" x14ac:dyDescent="0.35">
      <c r="B49" t="s">
        <v>182</v>
      </c>
      <c r="C49" s="250" t="str">
        <f>TEXT(F20, "#.##0")</f>
        <v>6.000</v>
      </c>
    </row>
    <row r="50" spans="2:3" ht="14.5" x14ac:dyDescent="0.35">
      <c r="B50" t="s">
        <v>183</v>
      </c>
      <c r="C50" s="249" t="str">
        <f>+C7</f>
        <v>trifásico</v>
      </c>
    </row>
    <row r="51" spans="2:3" ht="14.5" x14ac:dyDescent="0.35">
      <c r="B51" t="s">
        <v>184</v>
      </c>
      <c r="C51" s="252" t="str">
        <f>"USD " &amp; TEXT(J12, "#.##0")&amp;" + IVA"</f>
        <v>USD 10.530 + IVA</v>
      </c>
    </row>
    <row r="52" spans="2:3" ht="14.5" x14ac:dyDescent="0.35">
      <c r="B52" t="s">
        <v>185</v>
      </c>
      <c r="C52" s="252" t="str">
        <f>"USD " &amp; TEXT(J13, "#.##0")</f>
        <v>USD 12.846</v>
      </c>
    </row>
    <row r="53" spans="2:3" ht="14.5" x14ac:dyDescent="0.35">
      <c r="B53" t="s">
        <v>186</v>
      </c>
      <c r="C53" s="249" t="str">
        <f>+C6</f>
        <v>Simple</v>
      </c>
    </row>
    <row r="54" spans="2:3" ht="14.5" x14ac:dyDescent="0.35">
      <c r="B54" t="s">
        <v>187</v>
      </c>
      <c r="C54" s="253" t="str">
        <f>TEXT(C5, "$ #.##0")</f>
        <v>$ 6.000</v>
      </c>
    </row>
    <row r="55" spans="2:3" ht="14.5" x14ac:dyDescent="0.35">
      <c r="B55" t="s">
        <v>188</v>
      </c>
      <c r="C55" s="250" t="str">
        <f>TEXT(F21, "$ #.##0")</f>
        <v>-$ 815</v>
      </c>
    </row>
    <row r="56" spans="2:3" ht="14.5" x14ac:dyDescent="0.35">
      <c r="B56" t="s">
        <v>189</v>
      </c>
      <c r="C56" s="254" t="str">
        <f>TEXT(J16, "$ #.##0")</f>
        <v>$ 6.815</v>
      </c>
    </row>
    <row r="57" spans="2:3" ht="14.5" x14ac:dyDescent="0.35">
      <c r="B57" t="s">
        <v>190</v>
      </c>
      <c r="C57" s="254" t="str">
        <f>TEXT(J16, "$ #.##0") &amp; " (USD " &amp; TEXT(J17, "#.##0)")</f>
        <v>$ 6.815 (USD 170)</v>
      </c>
    </row>
    <row r="58" spans="2:3" ht="14.5" x14ac:dyDescent="0.35">
      <c r="B58" t="s">
        <v>191</v>
      </c>
      <c r="C58" s="255" t="str">
        <f>"USD " &amp; TEXT(J21, "#.##0")</f>
        <v>USD 2.044</v>
      </c>
    </row>
    <row r="59" spans="2:3" ht="14.5" x14ac:dyDescent="0.35">
      <c r="B59" t="s">
        <v>39</v>
      </c>
      <c r="C59" s="254" t="str">
        <f>TEXT(J23, "#,# %")</f>
        <v>15,9 %</v>
      </c>
    </row>
    <row r="60" spans="2:3" ht="14.5" x14ac:dyDescent="0.35">
      <c r="B60" t="s">
        <v>192</v>
      </c>
      <c r="C60" s="254" t="str">
        <f>TEXT(J20, "#.##0,0") &amp; " años"</f>
        <v>6,3 años</v>
      </c>
    </row>
    <row r="61" spans="2:3" ht="14.5" x14ac:dyDescent="0.35">
      <c r="B61" t="s">
        <v>9</v>
      </c>
      <c r="C61" s="254" t="str">
        <f>TEXT(C12, "$#.#0")</f>
        <v>$40</v>
      </c>
    </row>
    <row r="62" spans="2:3" ht="14.5" x14ac:dyDescent="0.35">
      <c r="B62" t="s">
        <v>168</v>
      </c>
      <c r="C62" s="250">
        <f>+ROUND(J20,0)</f>
        <v>6</v>
      </c>
    </row>
    <row r="63" spans="2:3" ht="14.5" x14ac:dyDescent="0.35">
      <c r="B63" t="s">
        <v>193</v>
      </c>
      <c r="C63" s="250" t="str">
        <f>TEXT(F16, "$ #.##0")</f>
        <v>$ 22.450</v>
      </c>
    </row>
    <row r="64" spans="2:3" ht="14.5" x14ac:dyDescent="0.35">
      <c r="B64" t="s">
        <v>194</v>
      </c>
      <c r="C64" s="250" t="str">
        <f>TEXT(F17, "$ #.##0")</f>
        <v>$ 15.453</v>
      </c>
    </row>
    <row r="65" spans="2:3" ht="14.5" x14ac:dyDescent="0.35">
      <c r="B65" t="s">
        <v>195</v>
      </c>
      <c r="C65" s="250" t="str">
        <f>TEXT(F18, "$ #.##0")</f>
        <v>$ 10.543</v>
      </c>
    </row>
    <row r="66" spans="2:3" ht="14.5" x14ac:dyDescent="0.35">
      <c r="B66" t="s">
        <v>196</v>
      </c>
      <c r="C66" s="251" t="str">
        <f>TEXT(C8, "#.##0,0")</f>
        <v>7,0</v>
      </c>
    </row>
  </sheetData>
  <sheetProtection selectLockedCells="1"/>
  <mergeCells count="13">
    <mergeCell ref="I1:J1"/>
    <mergeCell ref="B1:C1"/>
    <mergeCell ref="E1:G1"/>
    <mergeCell ref="L16:M16"/>
    <mergeCell ref="A2:A4"/>
    <mergeCell ref="A5:A8"/>
    <mergeCell ref="A9:A10"/>
    <mergeCell ref="A11:A14"/>
    <mergeCell ref="O1:O2"/>
    <mergeCell ref="P1:P2"/>
    <mergeCell ref="L17:M17"/>
    <mergeCell ref="L18:M18"/>
    <mergeCell ref="L1:M1"/>
  </mergeCells>
  <phoneticPr fontId="9" type="noConversion"/>
  <conditionalFormatting sqref="L16">
    <cfRule type="cellIs" dxfId="5" priority="5" operator="equal">
      <formula>$AG$4</formula>
    </cfRule>
    <cfRule type="cellIs" dxfId="4" priority="6" operator="equal">
      <formula>$AG$3</formula>
    </cfRule>
  </conditionalFormatting>
  <conditionalFormatting sqref="L17">
    <cfRule type="cellIs" dxfId="3" priority="3" operator="equal">
      <formula>$AH$4</formula>
    </cfRule>
    <cfRule type="cellIs" dxfId="2" priority="4" operator="equal">
      <formula>$AH$3</formula>
    </cfRule>
  </conditionalFormatting>
  <conditionalFormatting sqref="L18">
    <cfRule type="cellIs" dxfId="1" priority="1" operator="equal">
      <formula>$AI$4</formula>
    </cfRule>
    <cfRule type="cellIs" dxfId="0" priority="2" operator="equal">
      <formula>$AI$3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91F362-9493-438E-98DE-6437A28B862C}">
          <x14:formula1>
            <xm:f>'Detalle costos'!$X$61:$X$66</xm:f>
          </x14:formula1>
          <xm:sqref>C6</xm:sqref>
        </x14:dataValidation>
        <x14:dataValidation type="list" allowBlank="1" showInputMessage="1" showErrorMessage="1" xr:uid="{7DE175DB-FEC9-4B92-A0B3-B31C36F48CB2}">
          <x14:formula1>
            <xm:f>'Detalle costos'!$Y$61:$Y$62</xm:f>
          </x14:formula1>
          <xm:sqref>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0069-018F-4728-8A18-37D9554E801E}">
  <sheetPr codeName="Hoja5"/>
  <dimension ref="A1:T23"/>
  <sheetViews>
    <sheetView zoomScale="166" zoomScaleNormal="166" workbookViewId="0">
      <selection activeCell="B3" sqref="B3"/>
    </sheetView>
  </sheetViews>
  <sheetFormatPr baseColWidth="10" defaultColWidth="11.453125" defaultRowHeight="14.5" x14ac:dyDescent="0.35"/>
  <cols>
    <col min="1" max="1" width="14.453125" customWidth="1"/>
    <col min="2" max="2" width="13.1796875" bestFit="1" customWidth="1"/>
    <col min="3" max="3" width="13.1796875" customWidth="1"/>
    <col min="4" max="4" width="13.1796875" bestFit="1" customWidth="1"/>
    <col min="5" max="5" width="13.453125" customWidth="1"/>
    <col min="6" max="6" width="10.81640625" bestFit="1" customWidth="1"/>
    <col min="7" max="7" width="7.453125" customWidth="1"/>
    <col min="8" max="8" width="17.453125" bestFit="1" customWidth="1"/>
    <col min="11" max="11" width="6.7265625" customWidth="1"/>
    <col min="12" max="12" width="16.1796875" customWidth="1"/>
  </cols>
  <sheetData>
    <row r="1" spans="1:20" ht="15" thickBot="1" x14ac:dyDescent="0.4">
      <c r="A1" s="284" t="s">
        <v>197</v>
      </c>
      <c r="B1" s="285"/>
      <c r="C1" s="285"/>
      <c r="D1" s="285"/>
      <c r="E1" s="285"/>
      <c r="F1" s="285"/>
      <c r="H1" s="301" t="s">
        <v>198</v>
      </c>
      <c r="I1" s="302"/>
      <c r="J1" s="303"/>
      <c r="L1" s="301" t="s">
        <v>199</v>
      </c>
      <c r="M1" s="302"/>
      <c r="N1" s="303"/>
    </row>
    <row r="2" spans="1:20" ht="58" x14ac:dyDescent="0.35">
      <c r="A2" s="6" t="s">
        <v>4</v>
      </c>
      <c r="B2" s="7" t="s">
        <v>200</v>
      </c>
      <c r="C2" s="7" t="s">
        <v>201</v>
      </c>
      <c r="D2" s="7" t="s">
        <v>6</v>
      </c>
      <c r="E2" s="16" t="s">
        <v>7</v>
      </c>
      <c r="F2" s="16" t="s">
        <v>81</v>
      </c>
      <c r="H2" s="6" t="s">
        <v>4</v>
      </c>
      <c r="I2" s="16" t="s">
        <v>202</v>
      </c>
      <c r="J2" s="16" t="s">
        <v>203</v>
      </c>
      <c r="L2" s="6" t="s">
        <v>4</v>
      </c>
      <c r="M2" s="16" t="s">
        <v>202</v>
      </c>
      <c r="N2" s="16" t="s">
        <v>203</v>
      </c>
    </row>
    <row r="3" spans="1:20" x14ac:dyDescent="0.35">
      <c r="A3" s="8" t="s">
        <v>148</v>
      </c>
      <c r="B3" s="122">
        <v>100</v>
      </c>
      <c r="C3" s="124">
        <f>+B3*1.22</f>
        <v>122</v>
      </c>
      <c r="D3" s="14">
        <f>+CALCULADORA!C14</f>
        <v>11</v>
      </c>
      <c r="E3" s="17">
        <f>+B3*D3</f>
        <v>1100</v>
      </c>
      <c r="F3" s="17">
        <f>+E3*1.22</f>
        <v>1342</v>
      </c>
      <c r="H3" s="8" t="s">
        <v>204</v>
      </c>
      <c r="I3" s="17">
        <v>6500</v>
      </c>
      <c r="J3" s="17">
        <f>+I3</f>
        <v>6500</v>
      </c>
      <c r="L3" s="8" t="s">
        <v>205</v>
      </c>
      <c r="M3" s="17">
        <f>+M5*3</f>
        <v>2100</v>
      </c>
      <c r="N3" s="17">
        <f>+M3*1.22</f>
        <v>2562</v>
      </c>
      <c r="S3" s="116"/>
    </row>
    <row r="4" spans="1:20" ht="14.5" customHeight="1" x14ac:dyDescent="0.35">
      <c r="A4" s="8" t="s">
        <v>206</v>
      </c>
      <c r="B4" s="122">
        <v>90</v>
      </c>
      <c r="C4" s="124">
        <f t="shared" ref="C4:C6" si="0">+B4*1.22</f>
        <v>109.8</v>
      </c>
      <c r="D4" s="14">
        <f>+D3</f>
        <v>11</v>
      </c>
      <c r="E4" s="17">
        <f>+B4*D4</f>
        <v>990</v>
      </c>
      <c r="F4" s="17">
        <f>+E4*1.22</f>
        <v>1207.8</v>
      </c>
      <c r="H4" s="8" t="s">
        <v>207</v>
      </c>
      <c r="I4" s="17">
        <v>80000</v>
      </c>
      <c r="J4" s="17">
        <f>+I4</f>
        <v>80000</v>
      </c>
      <c r="L4" s="8" t="s">
        <v>208</v>
      </c>
      <c r="M4" s="17">
        <v>2000</v>
      </c>
      <c r="N4" s="17">
        <f>+M4*1.22</f>
        <v>2440</v>
      </c>
      <c r="S4" s="116"/>
      <c r="T4" s="323"/>
    </row>
    <row r="5" spans="1:20" ht="14.5" customHeight="1" x14ac:dyDescent="0.35">
      <c r="A5" s="8" t="s">
        <v>209</v>
      </c>
      <c r="B5" s="122">
        <f>+IF(CALCULADORA!C7="monofásico",492,750)</f>
        <v>750</v>
      </c>
      <c r="C5" s="124">
        <f t="shared" si="0"/>
        <v>915</v>
      </c>
      <c r="D5" s="14">
        <v>1</v>
      </c>
      <c r="E5" s="17">
        <f>+D5*B5</f>
        <v>750</v>
      </c>
      <c r="F5" s="17">
        <f>+E5*1.22</f>
        <v>915</v>
      </c>
      <c r="H5" s="8" t="s">
        <v>210</v>
      </c>
      <c r="I5" s="17">
        <f>659.8/12</f>
        <v>54.983333333333327</v>
      </c>
      <c r="J5" s="17">
        <f>+I5*1.22</f>
        <v>67.079666666666654</v>
      </c>
      <c r="L5" s="8" t="s">
        <v>101</v>
      </c>
      <c r="M5" s="17">
        <f>+CALCULADORA!C11*2*10</f>
        <v>700</v>
      </c>
      <c r="N5" s="17">
        <f>+M5*1.22</f>
        <v>854</v>
      </c>
      <c r="S5" s="116"/>
      <c r="T5" s="324"/>
    </row>
    <row r="6" spans="1:20" x14ac:dyDescent="0.35">
      <c r="A6" s="8" t="s">
        <v>23</v>
      </c>
      <c r="B6" s="256">
        <f>+IF(CALCULADORA!C7="monofásico",
      IF(CALCULADORA!C17&lt;7,1000,
      1300),
IF(CALCULADORA!C7="trifásico",
      IF(CALCULADORA!C17&lt;11,1750,
      IF(CALCULADORA!C14&lt;13,2000,
      IF(CALCULADORA!C17&lt;21,2200,
      IF(CALCULADORA!C17&lt;31,2800,
      IF(CALCULADORA!C17&lt;51,5000,
      8000)))))))</f>
        <v>1750</v>
      </c>
      <c r="C6" s="124">
        <f t="shared" si="0"/>
        <v>2135</v>
      </c>
      <c r="D6" s="14">
        <v>1</v>
      </c>
      <c r="E6" s="17">
        <f>+B6*D6</f>
        <v>1750</v>
      </c>
      <c r="F6" s="17">
        <f>+E6*1.22</f>
        <v>2135</v>
      </c>
      <c r="H6" s="8" t="s">
        <v>211</v>
      </c>
      <c r="I6" s="17">
        <v>2300</v>
      </c>
      <c r="J6" s="17">
        <f>+I6*1.22</f>
        <v>2806</v>
      </c>
      <c r="L6" s="8" t="s">
        <v>212</v>
      </c>
      <c r="M6" s="17">
        <v>3500</v>
      </c>
      <c r="N6" s="17">
        <f>+M6*1.22</f>
        <v>4270</v>
      </c>
    </row>
    <row r="7" spans="1:20" x14ac:dyDescent="0.35">
      <c r="A7" s="8" t="s">
        <v>213</v>
      </c>
      <c r="B7" s="122">
        <f>+IF(CALCULADORA!C7="monofásico",110,220)</f>
        <v>220</v>
      </c>
      <c r="C7" s="124">
        <f t="shared" ref="C7" si="1">+B7*1.22</f>
        <v>268.39999999999998</v>
      </c>
      <c r="D7" s="14">
        <v>1</v>
      </c>
      <c r="E7" s="17">
        <f>+B7*D7</f>
        <v>220</v>
      </c>
      <c r="F7" s="17">
        <f>+E7*1.22</f>
        <v>268.39999999999998</v>
      </c>
      <c r="H7" s="8" t="s">
        <v>214</v>
      </c>
      <c r="I7" s="17">
        <v>32000</v>
      </c>
      <c r="J7" s="17">
        <v>32000</v>
      </c>
      <c r="L7" s="8" t="s">
        <v>215</v>
      </c>
      <c r="M7" s="17">
        <v>3000</v>
      </c>
      <c r="N7" s="17">
        <f>+M7*1.22</f>
        <v>3660</v>
      </c>
    </row>
    <row r="8" spans="1:20" x14ac:dyDescent="0.35">
      <c r="A8" s="8"/>
      <c r="B8" s="4"/>
      <c r="C8" s="14"/>
      <c r="D8" s="14"/>
      <c r="E8" s="17"/>
      <c r="F8" s="17"/>
      <c r="H8" s="8" t="s">
        <v>216</v>
      </c>
      <c r="I8" s="17">
        <v>3278.7</v>
      </c>
      <c r="J8" s="17">
        <f>+I8*1.22</f>
        <v>4000.0139999999997</v>
      </c>
      <c r="L8" s="8"/>
      <c r="M8" s="17"/>
      <c r="N8" s="17"/>
    </row>
    <row r="9" spans="1:20" ht="15" thickBot="1" x14ac:dyDescent="0.4">
      <c r="A9" s="9"/>
      <c r="B9" s="10"/>
      <c r="C9" s="15"/>
      <c r="D9" s="15"/>
      <c r="E9" s="18"/>
      <c r="F9" s="17"/>
      <c r="H9" s="8" t="s">
        <v>217</v>
      </c>
      <c r="I9" s="17">
        <v>2000</v>
      </c>
      <c r="J9" s="17">
        <v>2000</v>
      </c>
      <c r="L9" s="8"/>
      <c r="M9" s="17"/>
      <c r="N9" s="17"/>
    </row>
    <row r="10" spans="1:20" ht="15" thickBot="1" x14ac:dyDescent="0.4">
      <c r="B10" s="191"/>
      <c r="C10" s="191"/>
      <c r="D10" s="2" t="s">
        <v>218</v>
      </c>
      <c r="E10" s="97">
        <f>+SUM(E3:E9)</f>
        <v>4810</v>
      </c>
      <c r="F10" s="98">
        <f>SUM(F3:F9)</f>
        <v>5868.2</v>
      </c>
      <c r="H10" s="8" t="s">
        <v>219</v>
      </c>
      <c r="I10" s="17">
        <v>4200</v>
      </c>
      <c r="J10" s="17">
        <f>+I10*1.22</f>
        <v>5124</v>
      </c>
      <c r="L10" s="2" t="s">
        <v>220</v>
      </c>
      <c r="M10" s="97">
        <f>SUM(M3:M9)</f>
        <v>11300</v>
      </c>
      <c r="N10" s="98">
        <f>SUM(N3:N8)</f>
        <v>13786</v>
      </c>
    </row>
    <row r="11" spans="1:20" ht="15" thickBot="1" x14ac:dyDescent="0.4">
      <c r="B11" s="122">
        <v>1053</v>
      </c>
      <c r="C11" s="191"/>
      <c r="H11" s="8" t="s">
        <v>221</v>
      </c>
      <c r="I11" s="17">
        <f>350*40</f>
        <v>14000</v>
      </c>
      <c r="J11" s="17">
        <v>14000</v>
      </c>
      <c r="L11" s="2" t="s">
        <v>218</v>
      </c>
      <c r="M11" s="97">
        <f>+M10/CALCULADORA!$C$12</f>
        <v>282.5</v>
      </c>
      <c r="N11" s="98">
        <f>+N10/CALCULADORA!$C$12</f>
        <v>344.65</v>
      </c>
    </row>
    <row r="12" spans="1:20" ht="15" thickBot="1" x14ac:dyDescent="0.4">
      <c r="H12" s="8" t="s">
        <v>222</v>
      </c>
      <c r="I12" s="17">
        <v>25000</v>
      </c>
      <c r="J12" s="17">
        <v>25000</v>
      </c>
    </row>
    <row r="13" spans="1:20" ht="15" thickBot="1" x14ac:dyDescent="0.4">
      <c r="D13" s="2" t="s">
        <v>223</v>
      </c>
      <c r="E13" s="98">
        <f>+F10-E10</f>
        <v>1058.1999999999998</v>
      </c>
      <c r="H13" s="8" t="s">
        <v>224</v>
      </c>
      <c r="I13" s="17">
        <v>120000</v>
      </c>
      <c r="J13" s="17">
        <v>120000</v>
      </c>
      <c r="L13" s="2" t="s">
        <v>223</v>
      </c>
      <c r="M13" s="98">
        <f>+N11-M11</f>
        <v>62.149999999999977</v>
      </c>
    </row>
    <row r="14" spans="1:20" ht="15" thickBot="1" x14ac:dyDescent="0.4">
      <c r="H14" s="8" t="s">
        <v>225</v>
      </c>
      <c r="I14" s="17">
        <f>5000+3000</f>
        <v>8000</v>
      </c>
      <c r="J14" s="17">
        <v>8000</v>
      </c>
    </row>
    <row r="15" spans="1:20" ht="15" thickBot="1" x14ac:dyDescent="0.4">
      <c r="A15" s="2" t="s">
        <v>226</v>
      </c>
      <c r="B15" s="98">
        <f>+E13+I23+M13</f>
        <v>1193.6852583333325</v>
      </c>
      <c r="H15" s="8" t="s">
        <v>227</v>
      </c>
      <c r="I15" s="17">
        <v>3500</v>
      </c>
      <c r="J15" s="17">
        <f>+I15*1.22</f>
        <v>4270</v>
      </c>
    </row>
    <row r="16" spans="1:20" x14ac:dyDescent="0.35">
      <c r="H16" s="8"/>
      <c r="I16" s="17"/>
      <c r="J16" s="17"/>
    </row>
    <row r="17" spans="8:15" x14ac:dyDescent="0.35">
      <c r="H17" s="8"/>
      <c r="I17" s="17"/>
      <c r="J17" s="17"/>
    </row>
    <row r="18" spans="8:15" x14ac:dyDescent="0.35">
      <c r="H18" s="8"/>
      <c r="I18" s="17"/>
      <c r="J18" s="17"/>
    </row>
    <row r="19" spans="8:15" ht="15" thickBot="1" x14ac:dyDescent="0.4">
      <c r="H19" s="8"/>
      <c r="I19" s="17"/>
      <c r="J19" s="17"/>
    </row>
    <row r="20" spans="8:15" ht="15" thickBot="1" x14ac:dyDescent="0.4">
      <c r="H20" s="2" t="s">
        <v>220</v>
      </c>
      <c r="I20" s="97">
        <f>SUM(I3:I19)</f>
        <v>300833.68333333335</v>
      </c>
      <c r="J20" s="98">
        <f>SUM(J3:J19)</f>
        <v>303767.09366666665</v>
      </c>
    </row>
    <row r="21" spans="8:15" ht="15" thickBot="1" x14ac:dyDescent="0.4">
      <c r="H21" s="2" t="s">
        <v>218</v>
      </c>
      <c r="I21" s="97">
        <f>+I20/CALCULADORA!$C$12</f>
        <v>7520.8420833333339</v>
      </c>
      <c r="J21" s="98">
        <f>+J20/CALCULADORA!$C$12</f>
        <v>7594.1773416666665</v>
      </c>
    </row>
    <row r="22" spans="8:15" ht="15" thickBot="1" x14ac:dyDescent="0.4"/>
    <row r="23" spans="8:15" ht="15" thickBot="1" x14ac:dyDescent="0.4">
      <c r="H23" s="2" t="s">
        <v>223</v>
      </c>
      <c r="I23" s="98">
        <f>+J21-I21</f>
        <v>73.335258333332604</v>
      </c>
      <c r="O23" s="114"/>
    </row>
  </sheetData>
  <mergeCells count="4">
    <mergeCell ref="H1:J1"/>
    <mergeCell ref="A1:F1"/>
    <mergeCell ref="L1:N1"/>
    <mergeCell ref="T4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E983-6934-4C98-8AA0-E01874AF7843}">
  <sheetPr codeName="Hoja6"/>
  <dimension ref="A1:AC71"/>
  <sheetViews>
    <sheetView topLeftCell="I44" workbookViewId="0">
      <selection activeCell="Q65" sqref="Q65"/>
    </sheetView>
  </sheetViews>
  <sheetFormatPr baseColWidth="10" defaultColWidth="11.453125" defaultRowHeight="15" customHeight="1" x14ac:dyDescent="0.35"/>
  <cols>
    <col min="1" max="1" width="45.1796875" customWidth="1"/>
    <col min="2" max="2" width="9.26953125" bestFit="1" customWidth="1"/>
    <col min="3" max="3" width="7.81640625" bestFit="1" customWidth="1"/>
    <col min="6" max="6" width="16.453125" bestFit="1" customWidth="1"/>
    <col min="11" max="11" width="13.26953125" bestFit="1" customWidth="1"/>
    <col min="12" max="12" width="13.26953125" customWidth="1"/>
    <col min="13" max="13" width="3.7265625" customWidth="1"/>
    <col min="14" max="14" width="20.26953125" bestFit="1" customWidth="1"/>
    <col min="15" max="15" width="13.26953125" bestFit="1" customWidth="1"/>
    <col min="16" max="16" width="17.453125" customWidth="1"/>
    <col min="17" max="17" width="8.26953125" bestFit="1" customWidth="1"/>
    <col min="20" max="20" width="13.26953125" bestFit="1" customWidth="1"/>
    <col min="22" max="22" width="11.81640625" bestFit="1" customWidth="1"/>
    <col min="24" max="24" width="17" bestFit="1" customWidth="1"/>
  </cols>
  <sheetData>
    <row r="1" spans="1:29" ht="43.5" x14ac:dyDescent="0.35">
      <c r="A1" s="125" t="s">
        <v>4</v>
      </c>
      <c r="B1" s="125" t="s">
        <v>228</v>
      </c>
      <c r="C1" s="125" t="s">
        <v>229</v>
      </c>
      <c r="D1" s="126" t="s">
        <v>230</v>
      </c>
      <c r="E1" s="126" t="s">
        <v>231</v>
      </c>
      <c r="F1" s="127" t="s">
        <v>232</v>
      </c>
      <c r="J1" s="326" t="s">
        <v>148</v>
      </c>
      <c r="K1" s="326"/>
      <c r="L1" s="270"/>
      <c r="N1" s="327" t="s">
        <v>233</v>
      </c>
      <c r="O1" s="327"/>
      <c r="P1" s="327"/>
      <c r="R1" s="328" t="s">
        <v>234</v>
      </c>
      <c r="S1" s="328"/>
      <c r="T1" s="328"/>
      <c r="V1" s="330" t="s">
        <v>235</v>
      </c>
      <c r="W1" s="330"/>
      <c r="X1" s="330"/>
      <c r="Y1" s="330"/>
    </row>
    <row r="2" spans="1:29" s="113" customFormat="1" ht="14.5" x14ac:dyDescent="0.35">
      <c r="A2" s="180" t="s">
        <v>236</v>
      </c>
      <c r="B2" s="180"/>
      <c r="C2" s="180"/>
      <c r="D2" s="180"/>
      <c r="E2" s="180"/>
      <c r="F2" s="180"/>
      <c r="J2" s="113" t="s">
        <v>55</v>
      </c>
      <c r="K2" s="113" t="s">
        <v>237</v>
      </c>
      <c r="L2" s="113" t="s">
        <v>238</v>
      </c>
      <c r="N2" s="113" t="s">
        <v>4</v>
      </c>
      <c r="O2" s="113" t="s">
        <v>237</v>
      </c>
      <c r="P2" s="113" t="s">
        <v>238</v>
      </c>
      <c r="R2" s="113" t="s">
        <v>239</v>
      </c>
      <c r="S2" s="113" t="s">
        <v>55</v>
      </c>
      <c r="T2" s="113" t="s">
        <v>237</v>
      </c>
      <c r="V2" s="113" t="s">
        <v>172</v>
      </c>
      <c r="W2" s="113" t="s">
        <v>55</v>
      </c>
      <c r="X2" s="113" t="s">
        <v>237</v>
      </c>
      <c r="Y2" s="113" t="s">
        <v>109</v>
      </c>
      <c r="Z2" s="113" t="s">
        <v>209</v>
      </c>
      <c r="AA2" s="113" t="s">
        <v>240</v>
      </c>
      <c r="AB2" s="113" t="s">
        <v>241</v>
      </c>
    </row>
    <row r="3" spans="1:29" ht="14.5" x14ac:dyDescent="0.35">
      <c r="A3" s="128" t="s">
        <v>242</v>
      </c>
      <c r="B3" s="129" t="s">
        <v>243</v>
      </c>
      <c r="C3" s="146">
        <v>3.6</v>
      </c>
      <c r="D3" s="130">
        <f t="shared" ref="D3:D55" si="0">+C3*0.85</f>
        <v>3.06</v>
      </c>
      <c r="E3" s="130">
        <f>+D3*1.22</f>
        <v>3.7332000000000001</v>
      </c>
      <c r="F3" s="129" t="s">
        <v>244</v>
      </c>
      <c r="J3" s="191">
        <v>550</v>
      </c>
      <c r="K3" s="191">
        <v>400</v>
      </c>
      <c r="L3" s="115">
        <f>+K3/J3</f>
        <v>0.72727272727272729</v>
      </c>
      <c r="N3" t="s">
        <v>245</v>
      </c>
      <c r="O3" s="191">
        <v>57</v>
      </c>
      <c r="P3" s="3">
        <f>+O3/3.2</f>
        <v>17.8125</v>
      </c>
      <c r="R3" s="329" t="s">
        <v>160</v>
      </c>
      <c r="S3">
        <v>2000</v>
      </c>
      <c r="T3">
        <v>540</v>
      </c>
      <c r="U3" s="112">
        <f>+T3/S3</f>
        <v>0.27</v>
      </c>
      <c r="V3" t="s">
        <v>246</v>
      </c>
      <c r="W3" s="191">
        <v>2200</v>
      </c>
      <c r="X3" s="191">
        <v>15032</v>
      </c>
      <c r="Y3" s="115">
        <f>+X3/W3</f>
        <v>6.832727272727273</v>
      </c>
      <c r="Z3" s="191"/>
      <c r="AA3" s="191"/>
    </row>
    <row r="4" spans="1:29" ht="14.5" x14ac:dyDescent="0.35">
      <c r="A4" s="128" t="s">
        <v>247</v>
      </c>
      <c r="B4" s="129" t="s">
        <v>243</v>
      </c>
      <c r="C4" s="146">
        <v>6.1</v>
      </c>
      <c r="D4" s="130">
        <f t="shared" si="0"/>
        <v>5.1849999999999996</v>
      </c>
      <c r="E4" s="130">
        <f>+D4*1.22</f>
        <v>6.3256999999999994</v>
      </c>
      <c r="F4" s="129" t="s">
        <v>244</v>
      </c>
      <c r="J4" s="191">
        <v>540</v>
      </c>
      <c r="K4" s="191">
        <v>320</v>
      </c>
      <c r="L4" s="115">
        <f>+K4/J4</f>
        <v>0.59259259259259256</v>
      </c>
      <c r="N4" t="s">
        <v>248</v>
      </c>
      <c r="O4" s="191">
        <v>47</v>
      </c>
      <c r="P4" s="3">
        <f>+O4/3.2</f>
        <v>14.6875</v>
      </c>
      <c r="R4" s="329"/>
      <c r="S4">
        <v>3000</v>
      </c>
      <c r="T4">
        <v>816</v>
      </c>
      <c r="U4">
        <f>+T4/S4</f>
        <v>0.27200000000000002</v>
      </c>
      <c r="V4" t="s">
        <v>249</v>
      </c>
      <c r="W4" s="191">
        <f>4*410</f>
        <v>1640</v>
      </c>
      <c r="X4" s="191">
        <v>3492</v>
      </c>
      <c r="Y4" s="115">
        <f t="shared" ref="Y4:Y8" si="1">+X4/W4</f>
        <v>2.1292682926829269</v>
      </c>
      <c r="Z4" s="191">
        <v>300</v>
      </c>
      <c r="AA4" s="191">
        <v>61</v>
      </c>
      <c r="AB4" s="116">
        <f>500*AA4/40</f>
        <v>762.5</v>
      </c>
      <c r="AC4" s="48">
        <f>+AB4/W4</f>
        <v>0.46493902439024393</v>
      </c>
    </row>
    <row r="5" spans="1:29" ht="14.5" x14ac:dyDescent="0.35">
      <c r="A5" s="133" t="s">
        <v>250</v>
      </c>
      <c r="B5" s="129" t="s">
        <v>243</v>
      </c>
      <c r="C5" s="146">
        <v>32.68</v>
      </c>
      <c r="D5" s="130">
        <f t="shared" si="0"/>
        <v>27.777999999999999</v>
      </c>
      <c r="E5" s="130">
        <f t="shared" ref="E5:E55" si="2">+D5*1.22</f>
        <v>33.889159999999997</v>
      </c>
      <c r="F5" s="129" t="s">
        <v>244</v>
      </c>
      <c r="J5" s="191">
        <v>410</v>
      </c>
      <c r="K5" s="191">
        <v>320</v>
      </c>
      <c r="L5" s="115">
        <f>+K5/J5</f>
        <v>0.78048780487804881</v>
      </c>
      <c r="N5" t="s">
        <v>251</v>
      </c>
      <c r="O5" s="191">
        <v>33</v>
      </c>
      <c r="P5" s="3">
        <f>+O5/2.2</f>
        <v>14.999999999999998</v>
      </c>
      <c r="R5" s="329"/>
      <c r="V5" t="s">
        <v>252</v>
      </c>
      <c r="W5" s="191">
        <v>2000</v>
      </c>
      <c r="X5" s="191">
        <v>4800</v>
      </c>
      <c r="Y5" s="115">
        <f t="shared" si="1"/>
        <v>2.4</v>
      </c>
      <c r="Z5" s="191">
        <v>500</v>
      </c>
      <c r="AA5" s="191">
        <v>120</v>
      </c>
      <c r="AB5" s="116">
        <f t="shared" ref="AB5:AB8" si="3">500*AA5/40</f>
        <v>1500</v>
      </c>
      <c r="AC5" s="48">
        <f t="shared" ref="AC5:AC8" si="4">+AB5/W5</f>
        <v>0.75</v>
      </c>
    </row>
    <row r="6" spans="1:29" ht="14.5" x14ac:dyDescent="0.35">
      <c r="A6" s="133" t="s">
        <v>253</v>
      </c>
      <c r="B6" s="129" t="s">
        <v>243</v>
      </c>
      <c r="C6" s="146">
        <v>19.09</v>
      </c>
      <c r="D6" s="130">
        <f t="shared" si="0"/>
        <v>16.226499999999998</v>
      </c>
      <c r="E6" s="130">
        <f t="shared" si="2"/>
        <v>19.796329999999998</v>
      </c>
      <c r="F6" s="129" t="s">
        <v>244</v>
      </c>
      <c r="J6" s="191"/>
      <c r="K6" s="191"/>
      <c r="L6" s="191"/>
      <c r="N6" t="s">
        <v>254</v>
      </c>
      <c r="O6" s="191">
        <v>5</v>
      </c>
      <c r="P6" s="191"/>
      <c r="R6" s="329"/>
      <c r="S6" t="s">
        <v>255</v>
      </c>
      <c r="T6">
        <v>68</v>
      </c>
      <c r="V6" t="s">
        <v>256</v>
      </c>
      <c r="W6" s="191">
        <v>3000</v>
      </c>
      <c r="X6" s="191">
        <v>6000</v>
      </c>
      <c r="Y6" s="115">
        <f t="shared" si="1"/>
        <v>2</v>
      </c>
      <c r="Z6" s="191">
        <v>450</v>
      </c>
      <c r="AA6" s="191">
        <v>48</v>
      </c>
      <c r="AB6" s="116">
        <f t="shared" si="3"/>
        <v>600</v>
      </c>
      <c r="AC6" s="48">
        <f t="shared" si="4"/>
        <v>0.2</v>
      </c>
    </row>
    <row r="7" spans="1:29" ht="14.5" x14ac:dyDescent="0.35">
      <c r="A7" s="133" t="s">
        <v>257</v>
      </c>
      <c r="B7" s="129" t="s">
        <v>243</v>
      </c>
      <c r="C7" s="146">
        <v>44.3</v>
      </c>
      <c r="D7" s="130">
        <f t="shared" ref="D7" si="5">+C7*0.85</f>
        <v>37.654999999999994</v>
      </c>
      <c r="E7" s="130">
        <f t="shared" ref="E7" si="6">+D7*1.22</f>
        <v>45.939099999999989</v>
      </c>
      <c r="F7" s="129" t="s">
        <v>244</v>
      </c>
      <c r="J7" s="191"/>
      <c r="K7" s="191"/>
      <c r="L7" s="191"/>
      <c r="O7" s="191"/>
      <c r="P7" s="191"/>
      <c r="R7" s="329"/>
      <c r="W7" s="191"/>
      <c r="X7" s="191"/>
      <c r="Y7" s="115"/>
      <c r="Z7" s="191"/>
      <c r="AA7" s="191"/>
      <c r="AB7" s="116"/>
      <c r="AC7" s="48"/>
    </row>
    <row r="8" spans="1:29" ht="14.5" x14ac:dyDescent="0.35">
      <c r="A8" s="128" t="s">
        <v>258</v>
      </c>
      <c r="B8" s="129" t="s">
        <v>243</v>
      </c>
      <c r="C8" s="146">
        <v>0.6</v>
      </c>
      <c r="D8" s="130">
        <f t="shared" si="0"/>
        <v>0.51</v>
      </c>
      <c r="E8" s="130">
        <f t="shared" si="2"/>
        <v>0.62219999999999998</v>
      </c>
      <c r="F8" s="129" t="s">
        <v>244</v>
      </c>
      <c r="J8" s="191"/>
      <c r="K8" s="191"/>
      <c r="L8" s="191"/>
      <c r="N8" t="s">
        <v>259</v>
      </c>
      <c r="O8" s="191">
        <v>5</v>
      </c>
      <c r="P8" s="191"/>
      <c r="R8" s="329"/>
      <c r="S8" t="s">
        <v>213</v>
      </c>
      <c r="T8">
        <v>95</v>
      </c>
      <c r="V8" t="s">
        <v>260</v>
      </c>
      <c r="W8" s="191">
        <v>2700</v>
      </c>
      <c r="X8" s="191">
        <v>5400</v>
      </c>
      <c r="Y8" s="115">
        <f t="shared" si="1"/>
        <v>2</v>
      </c>
      <c r="Z8" s="191">
        <v>421</v>
      </c>
      <c r="AA8" s="191">
        <v>83</v>
      </c>
      <c r="AB8" s="116">
        <f t="shared" si="3"/>
        <v>1037.5</v>
      </c>
      <c r="AC8" s="48">
        <f t="shared" si="4"/>
        <v>0.38425925925925924</v>
      </c>
    </row>
    <row r="9" spans="1:29" ht="14.5" x14ac:dyDescent="0.35">
      <c r="A9" s="133" t="s">
        <v>261</v>
      </c>
      <c r="B9" s="129" t="s">
        <v>243</v>
      </c>
      <c r="C9" s="146">
        <v>4.16</v>
      </c>
      <c r="D9" s="130">
        <f t="shared" si="0"/>
        <v>3.536</v>
      </c>
      <c r="E9" s="130">
        <f t="shared" si="2"/>
        <v>4.3139199999999995</v>
      </c>
      <c r="F9" s="129" t="s">
        <v>244</v>
      </c>
      <c r="J9" s="191"/>
      <c r="K9" s="191"/>
      <c r="L9" s="191"/>
      <c r="N9" t="s">
        <v>262</v>
      </c>
      <c r="O9" s="191">
        <v>5</v>
      </c>
      <c r="P9" s="191"/>
      <c r="R9" s="191" t="s">
        <v>263</v>
      </c>
      <c r="S9">
        <v>3000</v>
      </c>
      <c r="T9">
        <v>1500</v>
      </c>
      <c r="W9" s="191"/>
      <c r="X9" s="191"/>
    </row>
    <row r="10" spans="1:29" ht="14.5" x14ac:dyDescent="0.35">
      <c r="A10" s="259" t="s">
        <v>264</v>
      </c>
      <c r="B10" s="129" t="s">
        <v>243</v>
      </c>
      <c r="C10" s="146"/>
      <c r="D10" s="130">
        <f t="shared" ref="D10:D24" si="7">+C10*0.85</f>
        <v>0</v>
      </c>
      <c r="E10" s="130">
        <f t="shared" ref="E10:E24" si="8">+D10*1.22</f>
        <v>0</v>
      </c>
      <c r="F10" s="129" t="s">
        <v>244</v>
      </c>
      <c r="J10" s="191"/>
      <c r="K10" s="191"/>
      <c r="L10" s="191"/>
      <c r="O10" s="191"/>
      <c r="P10" s="191"/>
      <c r="R10" s="191"/>
      <c r="W10" s="191"/>
      <c r="X10" s="191"/>
    </row>
    <row r="11" spans="1:29" ht="14.5" x14ac:dyDescent="0.35">
      <c r="A11" s="259" t="s">
        <v>265</v>
      </c>
      <c r="B11" s="129" t="s">
        <v>243</v>
      </c>
      <c r="C11" s="146"/>
      <c r="D11" s="130">
        <f t="shared" si="7"/>
        <v>0</v>
      </c>
      <c r="E11" s="130">
        <f t="shared" si="8"/>
        <v>0</v>
      </c>
      <c r="F11" s="129" t="s">
        <v>244</v>
      </c>
      <c r="J11" s="191"/>
      <c r="K11" s="191"/>
      <c r="L11" s="191"/>
      <c r="O11" s="191"/>
      <c r="P11" s="191"/>
      <c r="R11" s="191"/>
      <c r="W11" s="191"/>
      <c r="X11" s="191"/>
    </row>
    <row r="12" spans="1:29" ht="14.5" x14ac:dyDescent="0.35">
      <c r="A12" s="259" t="s">
        <v>266</v>
      </c>
      <c r="B12" s="129" t="s">
        <v>243</v>
      </c>
      <c r="C12" s="146"/>
      <c r="D12" s="130">
        <f t="shared" si="7"/>
        <v>0</v>
      </c>
      <c r="E12" s="130">
        <f t="shared" si="8"/>
        <v>0</v>
      </c>
      <c r="F12" s="129" t="s">
        <v>244</v>
      </c>
      <c r="J12" s="191"/>
      <c r="K12" s="191"/>
      <c r="L12" s="191"/>
      <c r="O12" s="191"/>
      <c r="P12" s="191"/>
      <c r="R12" s="191"/>
      <c r="W12" s="191"/>
      <c r="X12" s="191"/>
    </row>
    <row r="13" spans="1:29" ht="14.5" x14ac:dyDescent="0.35">
      <c r="A13" s="188" t="s">
        <v>267</v>
      </c>
      <c r="B13" s="129" t="s">
        <v>243</v>
      </c>
      <c r="C13" s="146">
        <v>0.44</v>
      </c>
      <c r="D13" s="130">
        <f t="shared" si="7"/>
        <v>0.374</v>
      </c>
      <c r="E13" s="130">
        <f t="shared" si="8"/>
        <v>0.45627999999999996</v>
      </c>
      <c r="F13" s="129" t="s">
        <v>244</v>
      </c>
      <c r="J13" s="191"/>
      <c r="K13" s="191"/>
      <c r="L13" s="191"/>
      <c r="N13" t="s">
        <v>268</v>
      </c>
      <c r="O13" s="191">
        <v>1</v>
      </c>
      <c r="P13" s="191"/>
      <c r="S13" t="s">
        <v>269</v>
      </c>
      <c r="T13">
        <v>55</v>
      </c>
      <c r="W13" s="191"/>
      <c r="X13" s="191"/>
      <c r="AA13" s="85">
        <f>+AA4/4/8</f>
        <v>1.90625</v>
      </c>
      <c r="AB13" s="85">
        <f>+AA13/W4*1000</f>
        <v>1.1623475609756098</v>
      </c>
    </row>
    <row r="14" spans="1:29" ht="14.5" x14ac:dyDescent="0.35">
      <c r="A14" s="188" t="s">
        <v>270</v>
      </c>
      <c r="B14" s="129" t="s">
        <v>243</v>
      </c>
      <c r="C14" s="146">
        <v>0.7</v>
      </c>
      <c r="D14" s="130">
        <f t="shared" si="7"/>
        <v>0.59499999999999997</v>
      </c>
      <c r="E14" s="130">
        <f t="shared" si="8"/>
        <v>0.72589999999999999</v>
      </c>
      <c r="F14" s="129" t="s">
        <v>244</v>
      </c>
      <c r="J14" s="191"/>
      <c r="K14" s="191"/>
      <c r="L14" s="191"/>
      <c r="N14" t="s">
        <v>271</v>
      </c>
      <c r="O14" s="191">
        <v>60</v>
      </c>
      <c r="P14" s="191"/>
      <c r="AA14" s="85">
        <f>+AA5/4/8</f>
        <v>3.75</v>
      </c>
      <c r="AB14" s="85">
        <f>+AA14/W5*1000</f>
        <v>1.875</v>
      </c>
    </row>
    <row r="15" spans="1:29" ht="14.5" x14ac:dyDescent="0.35">
      <c r="A15" s="188" t="s">
        <v>272</v>
      </c>
      <c r="B15" s="129" t="s">
        <v>273</v>
      </c>
      <c r="C15" s="146">
        <v>1.43</v>
      </c>
      <c r="D15" s="130">
        <f t="shared" si="7"/>
        <v>1.2155</v>
      </c>
      <c r="E15" s="130">
        <f t="shared" si="8"/>
        <v>1.48291</v>
      </c>
      <c r="F15" s="129" t="s">
        <v>244</v>
      </c>
      <c r="J15" s="191"/>
      <c r="K15" s="191"/>
      <c r="L15" s="191"/>
      <c r="O15" s="191"/>
      <c r="P15" s="191"/>
      <c r="AA15" s="85"/>
      <c r="AB15" s="85"/>
    </row>
    <row r="16" spans="1:29" ht="14.5" x14ac:dyDescent="0.35">
      <c r="A16" s="188" t="s">
        <v>274</v>
      </c>
      <c r="B16" s="129" t="s">
        <v>243</v>
      </c>
      <c r="C16" s="146">
        <v>2.4900000000000002</v>
      </c>
      <c r="D16" s="130">
        <f t="shared" si="7"/>
        <v>2.1165000000000003</v>
      </c>
      <c r="E16" s="130">
        <f t="shared" si="8"/>
        <v>2.5821300000000003</v>
      </c>
      <c r="F16" s="129" t="s">
        <v>244</v>
      </c>
      <c r="J16" s="191"/>
      <c r="K16" s="191"/>
      <c r="L16" s="191"/>
      <c r="O16" s="191"/>
      <c r="P16" s="191"/>
      <c r="AA16" s="85"/>
      <c r="AB16" s="85"/>
    </row>
    <row r="17" spans="1:28" ht="14.5" x14ac:dyDescent="0.35">
      <c r="A17" s="260" t="s">
        <v>275</v>
      </c>
      <c r="B17" s="129" t="s">
        <v>243</v>
      </c>
      <c r="C17" s="146"/>
      <c r="D17" s="130">
        <f t="shared" si="7"/>
        <v>0</v>
      </c>
      <c r="E17" s="130">
        <f t="shared" si="8"/>
        <v>0</v>
      </c>
      <c r="F17" s="129" t="s">
        <v>244</v>
      </c>
      <c r="J17" s="191"/>
      <c r="K17" s="191"/>
      <c r="L17" s="191"/>
      <c r="O17" s="191"/>
      <c r="P17" s="191"/>
      <c r="AA17" s="85"/>
      <c r="AB17" s="85"/>
    </row>
    <row r="18" spans="1:28" ht="14.5" x14ac:dyDescent="0.35">
      <c r="A18" s="260" t="s">
        <v>276</v>
      </c>
      <c r="B18" s="129" t="s">
        <v>243</v>
      </c>
      <c r="C18" s="146"/>
      <c r="D18" s="130">
        <f t="shared" si="7"/>
        <v>0</v>
      </c>
      <c r="E18" s="130">
        <f t="shared" si="8"/>
        <v>0</v>
      </c>
      <c r="F18" s="129" t="s">
        <v>244</v>
      </c>
      <c r="J18" s="191"/>
      <c r="K18" s="191"/>
      <c r="L18" s="191"/>
      <c r="O18" s="191"/>
      <c r="P18" s="191"/>
      <c r="AA18" s="85"/>
      <c r="AB18" s="85"/>
    </row>
    <row r="19" spans="1:28" ht="14.5" x14ac:dyDescent="0.35">
      <c r="A19" s="260" t="s">
        <v>277</v>
      </c>
      <c r="B19" s="129" t="s">
        <v>243</v>
      </c>
      <c r="C19" s="146"/>
      <c r="D19" s="130">
        <f t="shared" si="7"/>
        <v>0</v>
      </c>
      <c r="E19" s="130">
        <f t="shared" si="8"/>
        <v>0</v>
      </c>
      <c r="F19" s="129" t="s">
        <v>244</v>
      </c>
      <c r="J19" s="191"/>
      <c r="K19" s="191"/>
      <c r="L19" s="191"/>
      <c r="O19" s="191"/>
      <c r="P19" s="191"/>
      <c r="AA19" s="85"/>
      <c r="AB19" s="85"/>
    </row>
    <row r="20" spans="1:28" ht="14.5" x14ac:dyDescent="0.35">
      <c r="A20" s="187" t="s">
        <v>278</v>
      </c>
      <c r="B20" s="129" t="s">
        <v>243</v>
      </c>
      <c r="C20" s="146"/>
      <c r="D20" s="130">
        <f t="shared" si="7"/>
        <v>0</v>
      </c>
      <c r="E20" s="130">
        <f t="shared" si="8"/>
        <v>0</v>
      </c>
      <c r="F20" s="129" t="s">
        <v>244</v>
      </c>
      <c r="J20" s="191"/>
      <c r="K20" s="191"/>
      <c r="L20" s="191"/>
      <c r="O20" s="191"/>
      <c r="P20" s="191"/>
      <c r="AA20" s="85"/>
      <c r="AB20" s="85"/>
    </row>
    <row r="21" spans="1:28" ht="14.5" x14ac:dyDescent="0.35">
      <c r="A21" s="187" t="s">
        <v>279</v>
      </c>
      <c r="B21" s="129" t="s">
        <v>243</v>
      </c>
      <c r="C21" s="146"/>
      <c r="D21" s="130">
        <f t="shared" si="7"/>
        <v>0</v>
      </c>
      <c r="E21" s="130">
        <f t="shared" si="8"/>
        <v>0</v>
      </c>
      <c r="F21" s="129" t="s">
        <v>244</v>
      </c>
      <c r="J21" s="191"/>
      <c r="K21" s="191"/>
      <c r="L21" s="191"/>
      <c r="O21" s="191"/>
      <c r="P21" s="191"/>
      <c r="AA21" s="85"/>
      <c r="AB21" s="85"/>
    </row>
    <row r="22" spans="1:28" ht="14.5" x14ac:dyDescent="0.35">
      <c r="A22" s="189" t="s">
        <v>280</v>
      </c>
      <c r="B22" s="129" t="s">
        <v>273</v>
      </c>
      <c r="C22" s="146">
        <v>1.69</v>
      </c>
      <c r="D22" s="130">
        <f t="shared" si="7"/>
        <v>1.4364999999999999</v>
      </c>
      <c r="E22" s="130">
        <f t="shared" si="8"/>
        <v>1.7525299999999999</v>
      </c>
      <c r="F22" s="129" t="s">
        <v>244</v>
      </c>
      <c r="J22" s="191"/>
      <c r="K22" s="191"/>
      <c r="L22" s="191"/>
      <c r="N22" t="s">
        <v>281</v>
      </c>
      <c r="O22" s="191">
        <v>5</v>
      </c>
      <c r="P22" s="191"/>
      <c r="AA22" s="85">
        <f>+AA6/4/8</f>
        <v>1.5</v>
      </c>
      <c r="AB22" s="85">
        <f>+AA22/W6*1000</f>
        <v>0.5</v>
      </c>
    </row>
    <row r="23" spans="1:28" ht="14.5" x14ac:dyDescent="0.35">
      <c r="A23" s="189" t="s">
        <v>282</v>
      </c>
      <c r="B23" s="129" t="s">
        <v>243</v>
      </c>
      <c r="C23" s="146">
        <v>3.87</v>
      </c>
      <c r="D23" s="130">
        <f t="shared" si="7"/>
        <v>3.2894999999999999</v>
      </c>
      <c r="E23" s="130">
        <f t="shared" si="8"/>
        <v>4.0131899999999998</v>
      </c>
      <c r="F23" s="129" t="s">
        <v>244</v>
      </c>
      <c r="J23" s="191"/>
      <c r="K23" s="191"/>
      <c r="L23" s="191"/>
      <c r="O23" s="191"/>
      <c r="P23" s="191"/>
      <c r="AA23" s="85"/>
      <c r="AB23" s="85"/>
    </row>
    <row r="24" spans="1:28" ht="14.5" x14ac:dyDescent="0.35">
      <c r="A24" s="190" t="s">
        <v>283</v>
      </c>
      <c r="B24" s="129" t="s">
        <v>273</v>
      </c>
      <c r="C24" s="146">
        <v>0.65</v>
      </c>
      <c r="D24" s="130">
        <f t="shared" si="7"/>
        <v>0.55249999999999999</v>
      </c>
      <c r="E24" s="130">
        <f t="shared" si="8"/>
        <v>0.67404999999999993</v>
      </c>
      <c r="F24" s="129" t="s">
        <v>244</v>
      </c>
      <c r="J24" s="191"/>
      <c r="K24" s="191"/>
      <c r="L24" s="191"/>
      <c r="N24" t="s">
        <v>284</v>
      </c>
      <c r="O24" s="191">
        <v>30</v>
      </c>
      <c r="P24" s="191"/>
      <c r="AA24" s="85">
        <f t="shared" ref="AA24" si="9">+AA8/4/8</f>
        <v>2.59375</v>
      </c>
      <c r="AB24" s="85">
        <f>+AA24/W8*1000</f>
        <v>0.96064814814814814</v>
      </c>
    </row>
    <row r="25" spans="1:28" ht="14.5" x14ac:dyDescent="0.35">
      <c r="A25" s="190" t="s">
        <v>285</v>
      </c>
      <c r="B25" s="129" t="s">
        <v>273</v>
      </c>
      <c r="C25" s="146">
        <v>0.65</v>
      </c>
      <c r="D25" s="130">
        <f>+C25*0.85</f>
        <v>0.55249999999999999</v>
      </c>
      <c r="E25" s="130">
        <f t="shared" si="2"/>
        <v>0.67404999999999993</v>
      </c>
      <c r="F25" s="129" t="s">
        <v>244</v>
      </c>
      <c r="J25" s="191"/>
      <c r="K25" s="191"/>
      <c r="L25" s="191"/>
      <c r="N25" t="s">
        <v>286</v>
      </c>
      <c r="O25" s="191">
        <v>27</v>
      </c>
      <c r="P25" s="191"/>
    </row>
    <row r="26" spans="1:28" ht="14.5" x14ac:dyDescent="0.35">
      <c r="A26" s="190" t="s">
        <v>287</v>
      </c>
      <c r="B26" s="129" t="s">
        <v>273</v>
      </c>
      <c r="C26" s="146">
        <v>0.65</v>
      </c>
      <c r="D26" s="130">
        <f>+C26*0.85</f>
        <v>0.55249999999999999</v>
      </c>
      <c r="E26" s="130">
        <f t="shared" ref="E26" si="10">+D26*1.22</f>
        <v>0.67404999999999993</v>
      </c>
      <c r="F26" s="129" t="s">
        <v>244</v>
      </c>
      <c r="J26" s="191"/>
      <c r="K26" s="191"/>
      <c r="L26" s="191"/>
      <c r="N26" t="s">
        <v>288</v>
      </c>
      <c r="O26" s="191">
        <v>110</v>
      </c>
      <c r="P26" s="191"/>
    </row>
    <row r="27" spans="1:28" ht="14.5" x14ac:dyDescent="0.35">
      <c r="A27" s="128" t="s">
        <v>289</v>
      </c>
      <c r="B27" s="129" t="s">
        <v>273</v>
      </c>
      <c r="C27" s="146">
        <v>1.07</v>
      </c>
      <c r="D27" s="130">
        <f t="shared" ref="D27:D35" si="11">+C27*0.85</f>
        <v>0.90949999999999998</v>
      </c>
      <c r="E27" s="130">
        <f t="shared" ref="E27:E35" si="12">+D27*1.22</f>
        <v>1.1095899999999999</v>
      </c>
      <c r="F27" s="129" t="s">
        <v>244</v>
      </c>
      <c r="J27" s="191"/>
      <c r="K27" s="191"/>
      <c r="L27" s="191"/>
      <c r="O27" s="191"/>
      <c r="P27" s="191"/>
    </row>
    <row r="28" spans="1:28" ht="14.5" x14ac:dyDescent="0.35">
      <c r="A28" s="128" t="s">
        <v>290</v>
      </c>
      <c r="B28" s="129" t="s">
        <v>273</v>
      </c>
      <c r="C28" s="146">
        <v>1.07</v>
      </c>
      <c r="D28" s="130">
        <f t="shared" si="11"/>
        <v>0.90949999999999998</v>
      </c>
      <c r="E28" s="130">
        <f t="shared" si="12"/>
        <v>1.1095899999999999</v>
      </c>
      <c r="F28" s="129" t="s">
        <v>244</v>
      </c>
      <c r="J28" s="191"/>
      <c r="K28" s="191"/>
      <c r="L28" s="191"/>
      <c r="O28" s="191"/>
      <c r="P28" s="191"/>
    </row>
    <row r="29" spans="1:28" ht="14.5" x14ac:dyDescent="0.35">
      <c r="A29" s="128" t="s">
        <v>291</v>
      </c>
      <c r="B29" s="129" t="s">
        <v>273</v>
      </c>
      <c r="C29" s="146">
        <v>1.07</v>
      </c>
      <c r="D29" s="130">
        <f t="shared" si="11"/>
        <v>0.90949999999999998</v>
      </c>
      <c r="E29" s="130">
        <f t="shared" si="12"/>
        <v>1.1095899999999999</v>
      </c>
      <c r="F29" s="129" t="s">
        <v>244</v>
      </c>
      <c r="J29" s="191"/>
      <c r="K29" s="191"/>
      <c r="L29" s="191"/>
      <c r="O29" s="191"/>
      <c r="P29" s="191"/>
    </row>
    <row r="30" spans="1:28" ht="14.5" x14ac:dyDescent="0.35">
      <c r="A30" s="188" t="s">
        <v>292</v>
      </c>
      <c r="B30" s="129" t="s">
        <v>273</v>
      </c>
      <c r="C30" s="146">
        <v>1.84</v>
      </c>
      <c r="D30" s="130">
        <f t="shared" si="11"/>
        <v>1.5640000000000001</v>
      </c>
      <c r="E30" s="130">
        <f t="shared" si="12"/>
        <v>1.90808</v>
      </c>
      <c r="F30" s="129" t="s">
        <v>244</v>
      </c>
      <c r="J30" s="191"/>
      <c r="K30" s="191"/>
      <c r="L30" s="191"/>
    </row>
    <row r="31" spans="1:28" ht="14.5" x14ac:dyDescent="0.35">
      <c r="A31" s="188" t="s">
        <v>293</v>
      </c>
      <c r="B31" s="129" t="s">
        <v>273</v>
      </c>
      <c r="C31" s="146">
        <v>1.84</v>
      </c>
      <c r="D31" s="130">
        <f t="shared" si="11"/>
        <v>1.5640000000000001</v>
      </c>
      <c r="E31" s="130">
        <f t="shared" si="12"/>
        <v>1.90808</v>
      </c>
      <c r="F31" s="129" t="s">
        <v>244</v>
      </c>
      <c r="J31" s="191"/>
      <c r="K31" s="191"/>
      <c r="L31" s="191"/>
    </row>
    <row r="32" spans="1:28" ht="14.5" x14ac:dyDescent="0.35">
      <c r="A32" s="188" t="s">
        <v>294</v>
      </c>
      <c r="B32" s="129" t="s">
        <v>273</v>
      </c>
      <c r="C32" s="146">
        <v>1.84</v>
      </c>
      <c r="D32" s="130">
        <f t="shared" si="11"/>
        <v>1.5640000000000001</v>
      </c>
      <c r="E32" s="130">
        <f t="shared" si="12"/>
        <v>1.90808</v>
      </c>
      <c r="F32" s="129" t="s">
        <v>244</v>
      </c>
      <c r="J32" s="191"/>
      <c r="K32" s="191"/>
      <c r="L32" s="191"/>
    </row>
    <row r="33" spans="1:22" ht="14.5" x14ac:dyDescent="0.35">
      <c r="A33" s="128" t="s">
        <v>295</v>
      </c>
      <c r="B33" s="129" t="s">
        <v>273</v>
      </c>
      <c r="C33" s="146">
        <v>0.6</v>
      </c>
      <c r="D33" s="130">
        <f t="shared" si="11"/>
        <v>0.51</v>
      </c>
      <c r="E33" s="130">
        <f t="shared" si="12"/>
        <v>0.62219999999999998</v>
      </c>
      <c r="F33" s="129" t="s">
        <v>244</v>
      </c>
      <c r="O33" s="325" t="s">
        <v>296</v>
      </c>
      <c r="P33" s="325"/>
      <c r="Q33" s="325" t="s">
        <v>297</v>
      </c>
      <c r="R33" s="325"/>
      <c r="S33" s="325" t="s">
        <v>252</v>
      </c>
      <c r="T33" s="325"/>
      <c r="U33" s="325" t="s">
        <v>298</v>
      </c>
      <c r="V33" s="325"/>
    </row>
    <row r="34" spans="1:22" ht="14.5" x14ac:dyDescent="0.35">
      <c r="A34" s="128" t="s">
        <v>299</v>
      </c>
      <c r="B34" s="129" t="s">
        <v>273</v>
      </c>
      <c r="C34" s="146">
        <v>1.07</v>
      </c>
      <c r="D34" s="130">
        <f t="shared" si="11"/>
        <v>0.90949999999999998</v>
      </c>
      <c r="E34" s="130">
        <f t="shared" si="12"/>
        <v>1.1095899999999999</v>
      </c>
      <c r="F34" s="129" t="s">
        <v>244</v>
      </c>
      <c r="O34" s="113"/>
      <c r="P34" s="113"/>
      <c r="Q34" s="113"/>
      <c r="R34" s="113"/>
      <c r="S34" s="113"/>
      <c r="T34" s="113"/>
      <c r="U34" s="113"/>
      <c r="V34" s="113"/>
    </row>
    <row r="35" spans="1:22" ht="14.5" x14ac:dyDescent="0.35">
      <c r="A35" s="128" t="s">
        <v>300</v>
      </c>
      <c r="B35" s="129" t="s">
        <v>273</v>
      </c>
      <c r="C35" s="146">
        <v>1.84</v>
      </c>
      <c r="D35" s="130">
        <f t="shared" si="11"/>
        <v>1.5640000000000001</v>
      </c>
      <c r="E35" s="130">
        <f t="shared" si="12"/>
        <v>1.90808</v>
      </c>
      <c r="F35" s="129" t="s">
        <v>244</v>
      </c>
      <c r="O35" s="113"/>
      <c r="P35" s="113"/>
      <c r="Q35" s="113"/>
      <c r="R35" s="113"/>
      <c r="S35" s="113"/>
      <c r="T35" s="113"/>
      <c r="U35" s="113"/>
      <c r="V35" s="113"/>
    </row>
    <row r="36" spans="1:22" ht="14.5" x14ac:dyDescent="0.35">
      <c r="A36" s="190" t="s">
        <v>301</v>
      </c>
      <c r="B36" s="129" t="s">
        <v>273</v>
      </c>
      <c r="C36" s="146">
        <v>1.59</v>
      </c>
      <c r="D36" s="130">
        <f t="shared" si="0"/>
        <v>1.3514999999999999</v>
      </c>
      <c r="E36" s="130">
        <f t="shared" si="2"/>
        <v>1.6488299999999998</v>
      </c>
      <c r="F36" s="129" t="s">
        <v>244</v>
      </c>
      <c r="O36" s="114" t="s">
        <v>6</v>
      </c>
      <c r="P36" s="114" t="s">
        <v>302</v>
      </c>
      <c r="Q36" s="114" t="s">
        <v>6</v>
      </c>
      <c r="R36" s="114" t="s">
        <v>302</v>
      </c>
      <c r="S36" s="114" t="s">
        <v>6</v>
      </c>
      <c r="T36" s="114" t="s">
        <v>302</v>
      </c>
      <c r="U36" s="114" t="s">
        <v>6</v>
      </c>
      <c r="V36" s="114" t="s">
        <v>302</v>
      </c>
    </row>
    <row r="37" spans="1:22" ht="14.5" x14ac:dyDescent="0.35">
      <c r="A37" s="190" t="s">
        <v>303</v>
      </c>
      <c r="B37" s="129" t="s">
        <v>273</v>
      </c>
      <c r="C37" s="146"/>
      <c r="D37" s="130">
        <f t="shared" ref="D37:D38" si="13">+C37*0.85</f>
        <v>0</v>
      </c>
      <c r="E37" s="130">
        <f t="shared" ref="E37:E38" si="14">+D37*1.22</f>
        <v>0</v>
      </c>
      <c r="F37" s="129" t="s">
        <v>244</v>
      </c>
      <c r="O37" s="114"/>
      <c r="P37" s="114"/>
      <c r="Q37" s="114"/>
      <c r="R37" s="114"/>
      <c r="S37" s="114"/>
      <c r="T37" s="114"/>
      <c r="U37" s="114"/>
      <c r="V37" s="114"/>
    </row>
    <row r="38" spans="1:22" ht="14.5" x14ac:dyDescent="0.35">
      <c r="A38" s="190" t="s">
        <v>304</v>
      </c>
      <c r="B38" s="129" t="s">
        <v>273</v>
      </c>
      <c r="C38" s="146"/>
      <c r="D38" s="130">
        <f t="shared" si="13"/>
        <v>0</v>
      </c>
      <c r="E38" s="130">
        <f t="shared" si="14"/>
        <v>0</v>
      </c>
      <c r="F38" s="129" t="s">
        <v>244</v>
      </c>
      <c r="O38" s="114"/>
      <c r="P38" s="114"/>
      <c r="Q38" s="114"/>
      <c r="R38" s="114"/>
      <c r="S38" s="114"/>
      <c r="T38" s="114"/>
      <c r="U38" s="114"/>
      <c r="V38" s="114"/>
    </row>
    <row r="39" spans="1:22" ht="14.5" x14ac:dyDescent="0.35">
      <c r="A39" s="128" t="s">
        <v>305</v>
      </c>
      <c r="B39" s="129" t="s">
        <v>243</v>
      </c>
      <c r="C39" s="146">
        <v>2.63</v>
      </c>
      <c r="D39" s="130">
        <f t="shared" si="0"/>
        <v>2.2355</v>
      </c>
      <c r="E39" s="130">
        <f t="shared" si="2"/>
        <v>2.7273100000000001</v>
      </c>
      <c r="F39" s="129" t="s">
        <v>244</v>
      </c>
      <c r="N39" t="s">
        <v>148</v>
      </c>
      <c r="O39">
        <v>4</v>
      </c>
      <c r="Q39">
        <v>4</v>
      </c>
      <c r="S39">
        <v>4</v>
      </c>
      <c r="U39">
        <v>10</v>
      </c>
    </row>
    <row r="40" spans="1:22" ht="14.5" x14ac:dyDescent="0.35">
      <c r="A40" s="128" t="s">
        <v>306</v>
      </c>
      <c r="B40" s="129" t="s">
        <v>243</v>
      </c>
      <c r="C40" s="146">
        <v>6.52</v>
      </c>
      <c r="D40" s="130">
        <f t="shared" si="0"/>
        <v>5.5419999999999998</v>
      </c>
      <c r="E40" s="130">
        <f t="shared" si="2"/>
        <v>6.7612399999999999</v>
      </c>
      <c r="F40" s="129" t="s">
        <v>244</v>
      </c>
      <c r="N40" t="s">
        <v>307</v>
      </c>
      <c r="O40">
        <v>4</v>
      </c>
      <c r="P40">
        <f>+O40*O3</f>
        <v>228</v>
      </c>
      <c r="Q40">
        <v>6</v>
      </c>
      <c r="R40">
        <f>+Q40*$O$3</f>
        <v>342</v>
      </c>
      <c r="S40">
        <v>6</v>
      </c>
      <c r="T40">
        <f>+S40*$O$3</f>
        <v>342</v>
      </c>
      <c r="U40">
        <v>6</v>
      </c>
      <c r="V40">
        <f>+U40*$O$3</f>
        <v>342</v>
      </c>
    </row>
    <row r="41" spans="1:22" ht="14.5" x14ac:dyDescent="0.35">
      <c r="A41" s="128" t="s">
        <v>308</v>
      </c>
      <c r="B41" s="129" t="s">
        <v>243</v>
      </c>
      <c r="C41" s="146">
        <v>22.34</v>
      </c>
      <c r="D41" s="130">
        <f t="shared" si="0"/>
        <v>18.989000000000001</v>
      </c>
      <c r="E41" s="130">
        <f t="shared" si="2"/>
        <v>23.16658</v>
      </c>
      <c r="F41" s="129" t="s">
        <v>244</v>
      </c>
      <c r="N41" t="s">
        <v>254</v>
      </c>
      <c r="O41">
        <v>2</v>
      </c>
      <c r="P41">
        <f>+O41*O6</f>
        <v>10</v>
      </c>
      <c r="Q41">
        <v>4</v>
      </c>
      <c r="R41">
        <f>+Q41*$O$6</f>
        <v>20</v>
      </c>
      <c r="S41">
        <v>4</v>
      </c>
      <c r="T41">
        <f>+S41*$O$6</f>
        <v>20</v>
      </c>
      <c r="U41">
        <v>4</v>
      </c>
      <c r="V41">
        <f>+U41*$O$6</f>
        <v>20</v>
      </c>
    </row>
    <row r="42" spans="1:22" ht="14.5" x14ac:dyDescent="0.35">
      <c r="A42" s="128" t="s">
        <v>309</v>
      </c>
      <c r="B42" s="129" t="s">
        <v>243</v>
      </c>
      <c r="C42" s="146">
        <v>2.82</v>
      </c>
      <c r="D42" s="130">
        <f t="shared" si="0"/>
        <v>2.3969999999999998</v>
      </c>
      <c r="E42" s="130">
        <f t="shared" si="2"/>
        <v>2.9243399999999995</v>
      </c>
      <c r="F42" s="129" t="s">
        <v>244</v>
      </c>
      <c r="N42" t="s">
        <v>259</v>
      </c>
      <c r="O42">
        <v>4</v>
      </c>
      <c r="P42">
        <f>+O42*O8</f>
        <v>20</v>
      </c>
      <c r="Q42">
        <v>8</v>
      </c>
      <c r="R42">
        <f>+Q42*$O$8</f>
        <v>40</v>
      </c>
      <c r="S42">
        <v>8</v>
      </c>
      <c r="T42">
        <f>+S42*$O$8</f>
        <v>40</v>
      </c>
      <c r="U42">
        <v>8</v>
      </c>
      <c r="V42">
        <f>+U42*$O$8</f>
        <v>40</v>
      </c>
    </row>
    <row r="43" spans="1:22" ht="14.5" x14ac:dyDescent="0.35">
      <c r="A43" s="128" t="s">
        <v>310</v>
      </c>
      <c r="B43" s="129" t="s">
        <v>243</v>
      </c>
      <c r="C43" s="146">
        <v>0.81</v>
      </c>
      <c r="D43" s="130">
        <f t="shared" ref="D43:D47" si="15">+C43*0.85</f>
        <v>0.6885</v>
      </c>
      <c r="E43" s="130">
        <f t="shared" ref="E43:E47" si="16">+D43*1.22</f>
        <v>0.83996999999999999</v>
      </c>
      <c r="F43" s="129" t="s">
        <v>244</v>
      </c>
    </row>
    <row r="44" spans="1:22" ht="14.5" x14ac:dyDescent="0.35">
      <c r="A44" s="128" t="s">
        <v>311</v>
      </c>
      <c r="B44" s="129" t="s">
        <v>243</v>
      </c>
      <c r="C44" s="146">
        <v>0.3</v>
      </c>
      <c r="D44" s="130">
        <f t="shared" si="15"/>
        <v>0.255</v>
      </c>
      <c r="E44" s="130">
        <f t="shared" si="16"/>
        <v>0.31109999999999999</v>
      </c>
      <c r="F44" s="129" t="s">
        <v>244</v>
      </c>
    </row>
    <row r="45" spans="1:22" ht="14.5" x14ac:dyDescent="0.35">
      <c r="A45" s="128" t="s">
        <v>312</v>
      </c>
      <c r="B45" s="129" t="s">
        <v>243</v>
      </c>
      <c r="C45" s="146">
        <v>0.33</v>
      </c>
      <c r="D45" s="130">
        <f t="shared" si="15"/>
        <v>0.28050000000000003</v>
      </c>
      <c r="E45" s="130">
        <f t="shared" si="16"/>
        <v>0.34221000000000001</v>
      </c>
      <c r="F45" s="129" t="s">
        <v>244</v>
      </c>
    </row>
    <row r="46" spans="1:22" ht="14.5" x14ac:dyDescent="0.35">
      <c r="A46" s="128" t="s">
        <v>313</v>
      </c>
      <c r="B46" s="129" t="s">
        <v>243</v>
      </c>
      <c r="C46" s="146">
        <v>0.37</v>
      </c>
      <c r="D46" s="130">
        <f t="shared" si="15"/>
        <v>0.3145</v>
      </c>
      <c r="E46" s="130">
        <f t="shared" si="16"/>
        <v>0.38368999999999998</v>
      </c>
      <c r="F46" s="129" t="s">
        <v>244</v>
      </c>
    </row>
    <row r="47" spans="1:22" ht="14.5" x14ac:dyDescent="0.35">
      <c r="A47" s="128" t="s">
        <v>314</v>
      </c>
      <c r="B47" s="129" t="s">
        <v>243</v>
      </c>
      <c r="C47" s="146">
        <v>0.76</v>
      </c>
      <c r="D47" s="130">
        <f t="shared" si="15"/>
        <v>0.64600000000000002</v>
      </c>
      <c r="E47" s="130">
        <f t="shared" si="16"/>
        <v>0.78812000000000004</v>
      </c>
      <c r="F47" s="129" t="s">
        <v>244</v>
      </c>
    </row>
    <row r="48" spans="1:22" ht="14.5" x14ac:dyDescent="0.35">
      <c r="A48" s="134" t="s">
        <v>315</v>
      </c>
      <c r="B48" s="129" t="s">
        <v>243</v>
      </c>
      <c r="C48" s="146">
        <v>0.11</v>
      </c>
      <c r="D48" s="130">
        <f t="shared" si="0"/>
        <v>9.35E-2</v>
      </c>
      <c r="E48" s="130">
        <f t="shared" si="2"/>
        <v>0.11406999999999999</v>
      </c>
      <c r="F48" s="129" t="s">
        <v>244</v>
      </c>
      <c r="N48" t="s">
        <v>316</v>
      </c>
      <c r="O48">
        <v>6</v>
      </c>
      <c r="P48">
        <f>+O48*O9</f>
        <v>30</v>
      </c>
      <c r="Q48">
        <v>4</v>
      </c>
      <c r="R48">
        <f>+Q48*$O$9</f>
        <v>20</v>
      </c>
      <c r="S48">
        <v>4</v>
      </c>
      <c r="T48">
        <f>+S48*$O$9</f>
        <v>20</v>
      </c>
      <c r="U48">
        <v>4</v>
      </c>
      <c r="V48">
        <f>+U48*$O$9</f>
        <v>20</v>
      </c>
    </row>
    <row r="49" spans="1:25" ht="14.5" x14ac:dyDescent="0.35">
      <c r="A49" s="134" t="s">
        <v>317</v>
      </c>
      <c r="B49" s="129" t="s">
        <v>243</v>
      </c>
      <c r="C49" s="146">
        <v>0.02</v>
      </c>
      <c r="D49" s="130">
        <f t="shared" si="0"/>
        <v>1.7000000000000001E-2</v>
      </c>
      <c r="E49" s="130">
        <f t="shared" si="2"/>
        <v>2.0740000000000001E-2</v>
      </c>
      <c r="F49" s="129" t="s">
        <v>244</v>
      </c>
      <c r="N49" t="s">
        <v>268</v>
      </c>
      <c r="O49">
        <v>8</v>
      </c>
      <c r="P49">
        <f>+O49*O13</f>
        <v>8</v>
      </c>
      <c r="Q49">
        <v>16</v>
      </c>
      <c r="R49">
        <f>+Q49*$O$13</f>
        <v>16</v>
      </c>
      <c r="S49">
        <v>30</v>
      </c>
      <c r="T49">
        <f>+S49*$O$13</f>
        <v>30</v>
      </c>
      <c r="U49">
        <v>0</v>
      </c>
      <c r="V49">
        <f>+U49*$O$13</f>
        <v>0</v>
      </c>
    </row>
    <row r="50" spans="1:25" ht="14.5" x14ac:dyDescent="0.35">
      <c r="A50" s="134" t="s">
        <v>318</v>
      </c>
      <c r="B50" s="129" t="s">
        <v>243</v>
      </c>
      <c r="C50" s="146">
        <v>0.03</v>
      </c>
      <c r="D50" s="130">
        <f t="shared" si="0"/>
        <v>2.5499999999999998E-2</v>
      </c>
      <c r="E50" s="130">
        <f t="shared" si="2"/>
        <v>3.1109999999999999E-2</v>
      </c>
      <c r="F50" s="129" t="s">
        <v>244</v>
      </c>
      <c r="N50" t="s">
        <v>271</v>
      </c>
      <c r="O50">
        <v>0</v>
      </c>
      <c r="P50">
        <f>+O50*O14</f>
        <v>0</v>
      </c>
      <c r="Q50">
        <v>0</v>
      </c>
      <c r="R50">
        <f>+Q50*$O$14</f>
        <v>0</v>
      </c>
      <c r="S50">
        <v>8</v>
      </c>
      <c r="T50">
        <f>+S50*$O$14</f>
        <v>480</v>
      </c>
      <c r="U50">
        <v>0</v>
      </c>
      <c r="V50">
        <f>+U50*$O$14</f>
        <v>0</v>
      </c>
    </row>
    <row r="51" spans="1:25" ht="14.5" x14ac:dyDescent="0.35">
      <c r="A51" s="134" t="s">
        <v>319</v>
      </c>
      <c r="B51" s="129" t="s">
        <v>243</v>
      </c>
      <c r="C51" s="146">
        <v>40.6</v>
      </c>
      <c r="D51" s="130">
        <f t="shared" si="0"/>
        <v>34.51</v>
      </c>
      <c r="E51" s="130">
        <f t="shared" si="2"/>
        <v>42.102199999999996</v>
      </c>
      <c r="F51" s="129" t="s">
        <v>244</v>
      </c>
      <c r="N51" t="s">
        <v>281</v>
      </c>
      <c r="O51">
        <v>2</v>
      </c>
      <c r="P51">
        <f>+O51*O22</f>
        <v>10</v>
      </c>
      <c r="Q51">
        <v>4</v>
      </c>
      <c r="R51">
        <f>+Q51*$O$22</f>
        <v>20</v>
      </c>
      <c r="S51">
        <v>4</v>
      </c>
      <c r="T51">
        <f>+S51*$O$22</f>
        <v>20</v>
      </c>
      <c r="U51">
        <v>4</v>
      </c>
      <c r="V51">
        <f>+U51*$O$22</f>
        <v>20</v>
      </c>
    </row>
    <row r="52" spans="1:25" ht="14.5" x14ac:dyDescent="0.35">
      <c r="A52" s="134" t="s">
        <v>320</v>
      </c>
      <c r="B52" s="129" t="s">
        <v>243</v>
      </c>
      <c r="C52" s="146">
        <v>35.76</v>
      </c>
      <c r="D52" s="130">
        <f t="shared" si="0"/>
        <v>30.395999999999997</v>
      </c>
      <c r="E52" s="130">
        <f t="shared" si="2"/>
        <v>37.083119999999994</v>
      </c>
      <c r="F52" s="129" t="s">
        <v>244</v>
      </c>
      <c r="N52" t="s">
        <v>284</v>
      </c>
      <c r="O52">
        <v>0</v>
      </c>
      <c r="P52">
        <f>+O52*O24</f>
        <v>0</v>
      </c>
      <c r="Q52">
        <v>0</v>
      </c>
      <c r="R52">
        <f>+Q52*$O$24</f>
        <v>0</v>
      </c>
      <c r="S52">
        <v>0</v>
      </c>
      <c r="T52">
        <f>+S52*$O$24</f>
        <v>0</v>
      </c>
      <c r="U52">
        <v>6</v>
      </c>
      <c r="V52">
        <f>+U52*$O$24</f>
        <v>180</v>
      </c>
    </row>
    <row r="53" spans="1:25" ht="14.5" x14ac:dyDescent="0.35">
      <c r="A53" s="128" t="s">
        <v>321</v>
      </c>
      <c r="B53" s="129" t="s">
        <v>243</v>
      </c>
      <c r="C53" s="146">
        <v>6.63</v>
      </c>
      <c r="D53" s="130">
        <f t="shared" si="0"/>
        <v>5.6354999999999995</v>
      </c>
      <c r="E53" s="130">
        <f t="shared" si="2"/>
        <v>6.8753099999999989</v>
      </c>
      <c r="F53" s="129" t="s">
        <v>244</v>
      </c>
      <c r="N53" t="s">
        <v>286</v>
      </c>
      <c r="O53">
        <v>0</v>
      </c>
      <c r="P53">
        <f>+O53*O25</f>
        <v>0</v>
      </c>
      <c r="Q53">
        <v>0</v>
      </c>
      <c r="R53">
        <f>+Q53*$O$25</f>
        <v>0</v>
      </c>
      <c r="S53">
        <v>0</v>
      </c>
      <c r="T53">
        <f>+S53*$O$25</f>
        <v>0</v>
      </c>
      <c r="U53">
        <v>10</v>
      </c>
      <c r="V53">
        <f>+U53*$O$25</f>
        <v>270</v>
      </c>
    </row>
    <row r="54" spans="1:25" ht="14.5" x14ac:dyDescent="0.35">
      <c r="A54" s="134" t="s">
        <v>322</v>
      </c>
      <c r="B54" s="129" t="s">
        <v>243</v>
      </c>
      <c r="C54" s="146">
        <v>0.88</v>
      </c>
      <c r="D54" s="130">
        <f t="shared" si="0"/>
        <v>0.748</v>
      </c>
      <c r="E54" s="130">
        <f t="shared" si="2"/>
        <v>0.91255999999999993</v>
      </c>
      <c r="F54" s="129" t="s">
        <v>244</v>
      </c>
      <c r="N54" t="s">
        <v>288</v>
      </c>
      <c r="O54">
        <v>0</v>
      </c>
      <c r="P54">
        <v>0</v>
      </c>
      <c r="Q54">
        <v>0</v>
      </c>
      <c r="R54">
        <v>0</v>
      </c>
      <c r="S54">
        <v>4</v>
      </c>
      <c r="T54">
        <f>+S54*$O$26</f>
        <v>440</v>
      </c>
      <c r="U54">
        <v>0</v>
      </c>
      <c r="V54">
        <f>+U54*$O$26</f>
        <v>0</v>
      </c>
    </row>
    <row r="55" spans="1:25" ht="14.5" x14ac:dyDescent="0.35">
      <c r="A55" s="134" t="s">
        <v>323</v>
      </c>
      <c r="B55" s="129" t="s">
        <v>243</v>
      </c>
      <c r="C55" s="146">
        <v>0.53</v>
      </c>
      <c r="D55" s="130">
        <f t="shared" si="0"/>
        <v>0.45050000000000001</v>
      </c>
      <c r="E55" s="130">
        <f t="shared" si="2"/>
        <v>0.54961000000000004</v>
      </c>
      <c r="F55" s="129" t="s">
        <v>244</v>
      </c>
      <c r="P55" s="114">
        <f>SUM(P40:P53)</f>
        <v>306</v>
      </c>
      <c r="R55" s="114">
        <f>SUM(R40:R53)</f>
        <v>458</v>
      </c>
      <c r="T55" s="114">
        <f>SUM(T40:T54)</f>
        <v>1392</v>
      </c>
      <c r="V55" s="114">
        <f>SUM(V40:V54)</f>
        <v>892</v>
      </c>
    </row>
    <row r="56" spans="1:25" ht="14.5" x14ac:dyDescent="0.35">
      <c r="A56" s="128" t="s">
        <v>324</v>
      </c>
      <c r="B56" s="129" t="s">
        <v>325</v>
      </c>
      <c r="C56" s="146">
        <v>1.08</v>
      </c>
      <c r="D56" s="130">
        <f>+C56*0.85</f>
        <v>0.91800000000000004</v>
      </c>
      <c r="E56" s="130">
        <f>+D56*1.22</f>
        <v>1.1199600000000001</v>
      </c>
      <c r="F56" s="129" t="s">
        <v>244</v>
      </c>
      <c r="O56" t="s">
        <v>326</v>
      </c>
      <c r="P56">
        <f>+P55/O39</f>
        <v>76.5</v>
      </c>
      <c r="R56">
        <f>+R55/Q39</f>
        <v>114.5</v>
      </c>
      <c r="T56">
        <f>+T55/S39</f>
        <v>348</v>
      </c>
      <c r="V56">
        <f>+V55/U39</f>
        <v>89.2</v>
      </c>
    </row>
    <row r="57" spans="1:25" ht="14.5" x14ac:dyDescent="0.35">
      <c r="A57" s="128" t="s">
        <v>327</v>
      </c>
      <c r="B57" s="129" t="s">
        <v>243</v>
      </c>
      <c r="C57" s="146">
        <v>0.03</v>
      </c>
      <c r="D57" s="130">
        <f>+C57*0.85</f>
        <v>2.5499999999999998E-2</v>
      </c>
      <c r="E57" s="130">
        <f t="shared" ref="E57:E62" si="17">+D57*1.22</f>
        <v>3.1109999999999999E-2</v>
      </c>
      <c r="F57" s="129" t="s">
        <v>244</v>
      </c>
      <c r="P57">
        <f>+P56/1.22</f>
        <v>62.704918032786885</v>
      </c>
      <c r="R57">
        <f>+R56/1.22</f>
        <v>93.852459016393439</v>
      </c>
      <c r="V57">
        <f>+V56/1.22</f>
        <v>73.114754098360663</v>
      </c>
    </row>
    <row r="58" spans="1:25" ht="14.5" x14ac:dyDescent="0.35">
      <c r="A58" s="128" t="s">
        <v>328</v>
      </c>
      <c r="B58" s="129" t="s">
        <v>243</v>
      </c>
      <c r="C58" s="146">
        <v>0.05</v>
      </c>
      <c r="D58" s="130">
        <f t="shared" ref="D58:D62" si="18">+C58*0.85</f>
        <v>4.2500000000000003E-2</v>
      </c>
      <c r="E58" s="130">
        <f t="shared" si="17"/>
        <v>5.185E-2</v>
      </c>
      <c r="F58" s="129" t="s">
        <v>244</v>
      </c>
      <c r="P58" s="117">
        <v>115</v>
      </c>
    </row>
    <row r="59" spans="1:25" ht="14.5" x14ac:dyDescent="0.35">
      <c r="A59" s="128" t="s">
        <v>329</v>
      </c>
      <c r="B59" s="129" t="s">
        <v>243</v>
      </c>
      <c r="C59" s="146">
        <v>0.08</v>
      </c>
      <c r="D59" s="130">
        <f t="shared" si="18"/>
        <v>6.8000000000000005E-2</v>
      </c>
      <c r="E59" s="130">
        <f t="shared" si="17"/>
        <v>8.2960000000000006E-2</v>
      </c>
      <c r="F59" s="129" t="s">
        <v>244</v>
      </c>
    </row>
    <row r="60" spans="1:25" ht="14.5" x14ac:dyDescent="0.35">
      <c r="A60" s="128" t="s">
        <v>330</v>
      </c>
      <c r="B60" s="129" t="s">
        <v>243</v>
      </c>
      <c r="C60" s="146">
        <v>1.08</v>
      </c>
      <c r="D60" s="130">
        <f t="shared" si="18"/>
        <v>0.91800000000000004</v>
      </c>
      <c r="E60" s="130">
        <f t="shared" si="17"/>
        <v>1.1199600000000001</v>
      </c>
      <c r="F60" s="129" t="s">
        <v>244</v>
      </c>
      <c r="P60" s="114" t="s">
        <v>206</v>
      </c>
      <c r="Q60" s="114" t="s">
        <v>302</v>
      </c>
      <c r="S60" t="s">
        <v>23</v>
      </c>
      <c r="X60" s="114" t="s">
        <v>132</v>
      </c>
      <c r="Y60" s="114" t="s">
        <v>135</v>
      </c>
    </row>
    <row r="61" spans="1:25" ht="14.5" x14ac:dyDescent="0.35">
      <c r="A61" s="128" t="s">
        <v>331</v>
      </c>
      <c r="B61" s="129" t="s">
        <v>243</v>
      </c>
      <c r="C61" s="146">
        <v>1.78</v>
      </c>
      <c r="D61" s="130">
        <f t="shared" si="18"/>
        <v>1.5129999999999999</v>
      </c>
      <c r="E61" s="130">
        <f t="shared" si="17"/>
        <v>1.8458599999999998</v>
      </c>
      <c r="F61" s="129" t="s">
        <v>244</v>
      </c>
      <c r="P61" t="s">
        <v>332</v>
      </c>
      <c r="Q61">
        <v>60</v>
      </c>
      <c r="X61" t="s">
        <v>333</v>
      </c>
      <c r="Y61" t="s">
        <v>136</v>
      </c>
    </row>
    <row r="62" spans="1:25" ht="14.5" x14ac:dyDescent="0.35">
      <c r="A62" s="128" t="s">
        <v>334</v>
      </c>
      <c r="B62" s="129" t="s">
        <v>243</v>
      </c>
      <c r="C62" s="146">
        <v>2.85</v>
      </c>
      <c r="D62" s="130">
        <f t="shared" si="18"/>
        <v>2.4224999999999999</v>
      </c>
      <c r="E62" s="130">
        <f t="shared" si="17"/>
        <v>2.9554499999999999</v>
      </c>
      <c r="F62" s="129" t="s">
        <v>244</v>
      </c>
      <c r="P62" t="s">
        <v>298</v>
      </c>
      <c r="Q62">
        <v>90</v>
      </c>
      <c r="X62" t="s">
        <v>133</v>
      </c>
      <c r="Y62" t="s">
        <v>335</v>
      </c>
    </row>
    <row r="63" spans="1:25" ht="14.5" x14ac:dyDescent="0.35">
      <c r="A63" s="135" t="s">
        <v>336</v>
      </c>
      <c r="B63" s="136" t="s">
        <v>243</v>
      </c>
      <c r="C63" s="136"/>
      <c r="D63" s="137"/>
      <c r="E63" s="138">
        <v>0.09</v>
      </c>
      <c r="F63" s="136" t="s">
        <v>337</v>
      </c>
      <c r="P63" t="s">
        <v>338</v>
      </c>
      <c r="Q63">
        <v>90</v>
      </c>
      <c r="X63" t="s">
        <v>339</v>
      </c>
    </row>
    <row r="64" spans="1:25" ht="14.5" x14ac:dyDescent="0.35">
      <c r="A64" s="135" t="s">
        <v>340</v>
      </c>
      <c r="B64" s="136" t="s">
        <v>243</v>
      </c>
      <c r="C64" s="136"/>
      <c r="D64" s="137"/>
      <c r="E64" s="138">
        <v>0.03</v>
      </c>
      <c r="F64" s="136" t="s">
        <v>337</v>
      </c>
      <c r="P64" t="s">
        <v>341</v>
      </c>
      <c r="Q64">
        <v>90</v>
      </c>
    </row>
    <row r="65" spans="1:6" ht="14.5" x14ac:dyDescent="0.35">
      <c r="A65" s="135" t="s">
        <v>342</v>
      </c>
      <c r="B65" s="136" t="s">
        <v>243</v>
      </c>
      <c r="C65" s="136"/>
      <c r="D65" s="137"/>
      <c r="E65" s="138">
        <v>0.02</v>
      </c>
      <c r="F65" s="136" t="s">
        <v>337</v>
      </c>
    </row>
    <row r="66" spans="1:6" ht="14.5" x14ac:dyDescent="0.35">
      <c r="A66" s="171" t="s">
        <v>343</v>
      </c>
      <c r="B66" s="172" t="s">
        <v>273</v>
      </c>
      <c r="C66" s="172"/>
      <c r="D66" s="173">
        <v>2.2000000000000002</v>
      </c>
      <c r="E66" s="173">
        <f>+D66*1.22</f>
        <v>2.6840000000000002</v>
      </c>
      <c r="F66" s="172" t="s">
        <v>344</v>
      </c>
    </row>
    <row r="67" spans="1:6" ht="14.5" x14ac:dyDescent="0.35">
      <c r="A67" s="171" t="s">
        <v>345</v>
      </c>
      <c r="B67" s="172" t="s">
        <v>243</v>
      </c>
      <c r="C67" s="172"/>
      <c r="D67" s="173">
        <v>24</v>
      </c>
      <c r="E67" s="173">
        <f t="shared" ref="E67:E69" si="19">+D67*1.22</f>
        <v>29.28</v>
      </c>
      <c r="F67" s="172" t="s">
        <v>344</v>
      </c>
    </row>
    <row r="68" spans="1:6" ht="14.5" x14ac:dyDescent="0.35">
      <c r="A68" s="171" t="s">
        <v>346</v>
      </c>
      <c r="B68" s="172" t="s">
        <v>243</v>
      </c>
      <c r="C68" s="172"/>
      <c r="D68" s="173">
        <v>22</v>
      </c>
      <c r="E68" s="173">
        <f t="shared" si="19"/>
        <v>26.84</v>
      </c>
      <c r="F68" s="172" t="s">
        <v>344</v>
      </c>
    </row>
    <row r="69" spans="1:6" ht="14.5" x14ac:dyDescent="0.35">
      <c r="A69" s="171" t="s">
        <v>347</v>
      </c>
      <c r="B69" s="172" t="s">
        <v>243</v>
      </c>
      <c r="C69" s="172"/>
      <c r="D69" s="173">
        <v>2</v>
      </c>
      <c r="E69" s="173">
        <f t="shared" si="19"/>
        <v>2.44</v>
      </c>
      <c r="F69" s="172" t="s">
        <v>344</v>
      </c>
    </row>
    <row r="70" spans="1:6" ht="14.5" x14ac:dyDescent="0.35">
      <c r="A70" s="171"/>
      <c r="B70" s="172"/>
      <c r="C70" s="172"/>
      <c r="D70" s="173"/>
      <c r="E70" s="173"/>
      <c r="F70" s="172"/>
    </row>
    <row r="71" spans="1:6" ht="14.5" x14ac:dyDescent="0.35">
      <c r="A71" s="171"/>
      <c r="B71" s="172"/>
      <c r="C71" s="172"/>
      <c r="D71" s="173"/>
      <c r="E71" s="173"/>
      <c r="F71" s="172"/>
    </row>
  </sheetData>
  <mergeCells count="9">
    <mergeCell ref="O33:P33"/>
    <mergeCell ref="Q33:R33"/>
    <mergeCell ref="S33:T33"/>
    <mergeCell ref="U33:V33"/>
    <mergeCell ref="J1:K1"/>
    <mergeCell ref="N1:P1"/>
    <mergeCell ref="R1:T1"/>
    <mergeCell ref="R3:R8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205A-166C-4ABB-A8BF-8945107DEAE3}">
  <sheetPr codeName="Hoja7"/>
  <dimension ref="A2:K33"/>
  <sheetViews>
    <sheetView workbookViewId="0">
      <selection activeCell="D26" sqref="D26"/>
    </sheetView>
  </sheetViews>
  <sheetFormatPr baseColWidth="10" defaultColWidth="11.453125" defaultRowHeight="14.5" x14ac:dyDescent="0.35"/>
  <cols>
    <col min="1" max="1" width="25.453125" bestFit="1" customWidth="1"/>
    <col min="2" max="3" width="10.1796875" customWidth="1"/>
    <col min="4" max="4" width="16.26953125" customWidth="1"/>
    <col min="5" max="5" width="11.1796875" bestFit="1" customWidth="1"/>
    <col min="6" max="6" width="11.453125" customWidth="1"/>
    <col min="7" max="7" width="14.81640625" customWidth="1"/>
    <col min="8" max="8" width="15.81640625" customWidth="1"/>
    <col min="9" max="10" width="12.453125" bestFit="1" customWidth="1"/>
    <col min="11" max="11" width="11.81640625" bestFit="1" customWidth="1"/>
    <col min="12" max="12" width="19.453125" bestFit="1" customWidth="1"/>
  </cols>
  <sheetData>
    <row r="2" spans="1:11" hidden="1" x14ac:dyDescent="0.35">
      <c r="A2" s="58" t="s">
        <v>53</v>
      </c>
      <c r="B2" s="50">
        <v>1</v>
      </c>
      <c r="C2" s="50">
        <v>2</v>
      </c>
      <c r="D2" s="50">
        <v>10</v>
      </c>
      <c r="E2" s="50">
        <v>14</v>
      </c>
      <c r="F2" s="50">
        <v>15</v>
      </c>
      <c r="G2" s="50">
        <v>20</v>
      </c>
      <c r="H2" s="50">
        <v>28</v>
      </c>
      <c r="I2" s="50">
        <v>30</v>
      </c>
      <c r="J2" s="50">
        <v>60</v>
      </c>
      <c r="K2" s="50">
        <v>100</v>
      </c>
    </row>
    <row r="3" spans="1:11" hidden="1" x14ac:dyDescent="0.35">
      <c r="A3" s="58" t="s">
        <v>54</v>
      </c>
      <c r="B3" s="50">
        <f t="shared" ref="B3:K3" si="0">+ROUNDUP(B2/$B$20,0)</f>
        <v>1</v>
      </c>
      <c r="C3" s="50">
        <f t="shared" si="0"/>
        <v>1</v>
      </c>
      <c r="D3" s="50">
        <f t="shared" si="0"/>
        <v>1</v>
      </c>
      <c r="E3" s="50">
        <f t="shared" si="0"/>
        <v>1</v>
      </c>
      <c r="F3" s="50">
        <f t="shared" si="0"/>
        <v>2</v>
      </c>
      <c r="G3" s="50">
        <f t="shared" si="0"/>
        <v>2</v>
      </c>
      <c r="H3" s="50">
        <f t="shared" si="0"/>
        <v>2</v>
      </c>
      <c r="I3" s="50">
        <f t="shared" si="0"/>
        <v>3</v>
      </c>
      <c r="J3" s="50">
        <f t="shared" si="0"/>
        <v>5</v>
      </c>
      <c r="K3" s="50">
        <f t="shared" si="0"/>
        <v>8</v>
      </c>
    </row>
    <row r="4" spans="1:11" hidden="1" x14ac:dyDescent="0.35">
      <c r="A4" s="58" t="s">
        <v>55</v>
      </c>
      <c r="B4" s="50">
        <v>600</v>
      </c>
      <c r="C4" s="50">
        <v>600</v>
      </c>
      <c r="D4" s="50">
        <f t="shared" ref="D4:K4" si="1">+$B$4*D2</f>
        <v>6000</v>
      </c>
      <c r="E4" s="50">
        <f t="shared" si="1"/>
        <v>8400</v>
      </c>
      <c r="F4" s="50">
        <f t="shared" si="1"/>
        <v>9000</v>
      </c>
      <c r="G4" s="50">
        <f t="shared" si="1"/>
        <v>12000</v>
      </c>
      <c r="H4" s="50">
        <f t="shared" si="1"/>
        <v>16800</v>
      </c>
      <c r="I4" s="50">
        <f t="shared" si="1"/>
        <v>18000</v>
      </c>
      <c r="J4" s="50">
        <f t="shared" si="1"/>
        <v>36000</v>
      </c>
      <c r="K4" s="50">
        <f t="shared" si="1"/>
        <v>60000</v>
      </c>
    </row>
    <row r="5" spans="1:11" hidden="1" x14ac:dyDescent="0.35">
      <c r="A5" s="58" t="s">
        <v>56</v>
      </c>
      <c r="B5" s="50">
        <v>157.13999999999999</v>
      </c>
      <c r="C5" s="50">
        <f t="shared" ref="C5:K5" si="2">+$B$5*C2</f>
        <v>314.27999999999997</v>
      </c>
      <c r="D5" s="50">
        <f t="shared" si="2"/>
        <v>1571.3999999999999</v>
      </c>
      <c r="E5" s="50">
        <f t="shared" si="2"/>
        <v>2199.96</v>
      </c>
      <c r="F5" s="50">
        <f t="shared" si="2"/>
        <v>2357.1</v>
      </c>
      <c r="G5" s="50">
        <f t="shared" si="2"/>
        <v>3142.7999999999997</v>
      </c>
      <c r="H5" s="50">
        <f t="shared" si="2"/>
        <v>4399.92</v>
      </c>
      <c r="I5" s="50">
        <f t="shared" si="2"/>
        <v>4714.2</v>
      </c>
      <c r="J5" s="50">
        <f t="shared" si="2"/>
        <v>9428.4</v>
      </c>
      <c r="K5" s="54">
        <f t="shared" si="2"/>
        <v>15713.999999999998</v>
      </c>
    </row>
    <row r="6" spans="1:11" hidden="1" x14ac:dyDescent="0.35">
      <c r="A6" s="58" t="s">
        <v>57</v>
      </c>
      <c r="B6" s="50">
        <v>27.71</v>
      </c>
      <c r="C6" s="50">
        <v>46.88</v>
      </c>
      <c r="D6" s="50">
        <v>200.25</v>
      </c>
      <c r="E6" s="50">
        <v>276.94</v>
      </c>
      <c r="F6" s="50">
        <v>304.64999999999998</v>
      </c>
      <c r="G6" s="50">
        <v>400.5</v>
      </c>
      <c r="H6" s="50">
        <v>553.87</v>
      </c>
      <c r="I6" s="50">
        <v>600.75</v>
      </c>
      <c r="J6" s="50">
        <v>1192.96</v>
      </c>
      <c r="K6" s="59">
        <v>1985.43</v>
      </c>
    </row>
    <row r="7" spans="1:11" hidden="1" x14ac:dyDescent="0.35">
      <c r="A7" s="58" t="s">
        <v>58</v>
      </c>
      <c r="B7" s="50">
        <v>70</v>
      </c>
      <c r="C7" s="50">
        <v>70</v>
      </c>
      <c r="D7" s="50">
        <v>70</v>
      </c>
      <c r="E7" s="50">
        <v>70</v>
      </c>
      <c r="F7" s="50">
        <v>140</v>
      </c>
      <c r="G7" s="50">
        <v>140</v>
      </c>
      <c r="H7" s="50">
        <v>140</v>
      </c>
      <c r="I7" s="50">
        <v>210</v>
      </c>
      <c r="J7" s="50">
        <v>350</v>
      </c>
      <c r="K7" s="50">
        <f>+K3*$B$21</f>
        <v>560</v>
      </c>
    </row>
    <row r="8" spans="1:11" hidden="1" x14ac:dyDescent="0.35">
      <c r="A8" s="58" t="s">
        <v>59</v>
      </c>
      <c r="B8" s="50">
        <v>410.28</v>
      </c>
      <c r="C8" s="50">
        <v>504.57</v>
      </c>
      <c r="D8" s="50">
        <v>1258.8399999999999</v>
      </c>
      <c r="E8" s="50">
        <v>1635.98</v>
      </c>
      <c r="F8" s="50">
        <v>1998.26</v>
      </c>
      <c r="G8" s="50">
        <v>2469.6799999999998</v>
      </c>
      <c r="H8" s="50">
        <v>3223.95</v>
      </c>
      <c r="I8" s="50">
        <v>3680.52</v>
      </c>
      <c r="J8" s="50">
        <v>7045.04</v>
      </c>
      <c r="K8" s="50">
        <f>+$B$23*K3+K5*$B$24</f>
        <v>11956.399999999998</v>
      </c>
    </row>
    <row r="9" spans="1:11" hidden="1" x14ac:dyDescent="0.35">
      <c r="A9" s="58" t="s">
        <v>60</v>
      </c>
      <c r="B9" s="50">
        <v>395</v>
      </c>
      <c r="C9" s="50">
        <v>395</v>
      </c>
      <c r="D9" s="50">
        <v>395</v>
      </c>
      <c r="E9" s="50">
        <v>395</v>
      </c>
      <c r="F9" s="50">
        <v>730</v>
      </c>
      <c r="G9" s="50">
        <v>730</v>
      </c>
      <c r="H9" s="50">
        <v>730</v>
      </c>
      <c r="I9" s="50">
        <v>1065</v>
      </c>
      <c r="J9" s="50">
        <v>1735</v>
      </c>
      <c r="K9" s="50">
        <f>+LOOKUP(K3,D20:D29,E20:E29)*K3</f>
        <v>2600</v>
      </c>
    </row>
    <row r="10" spans="1:11" hidden="1" x14ac:dyDescent="0.35">
      <c r="A10" s="58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hidden="1" x14ac:dyDescent="0.35">
      <c r="A11" s="58" t="s">
        <v>29</v>
      </c>
      <c r="B11" s="50">
        <f>SUM(B5:B10)</f>
        <v>1060.1300000000001</v>
      </c>
      <c r="C11" s="50">
        <f>SUM(C5:C10)</f>
        <v>1330.73</v>
      </c>
      <c r="D11" s="50">
        <f>SUM(D5:D10)</f>
        <v>3495.49</v>
      </c>
      <c r="E11" s="50">
        <f>SUM(E5:E10)</f>
        <v>4577.88</v>
      </c>
      <c r="F11" s="50">
        <f>SUM(F5:F10)</f>
        <v>5530.01</v>
      </c>
      <c r="G11" s="50">
        <f t="shared" ref="G11:J11" si="3">SUM(G5:G10)</f>
        <v>6882.98</v>
      </c>
      <c r="H11" s="50">
        <f t="shared" si="3"/>
        <v>9047.74</v>
      </c>
      <c r="I11" s="50">
        <f t="shared" si="3"/>
        <v>10270.469999999999</v>
      </c>
      <c r="J11" s="59">
        <f t="shared" si="3"/>
        <v>19751.400000000001</v>
      </c>
      <c r="K11" s="59">
        <f>SUM(K5:K10)</f>
        <v>32815.829999999994</v>
      </c>
    </row>
    <row r="12" spans="1:11" hidden="1" x14ac:dyDescent="0.35">
      <c r="A12" s="58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idden="1" x14ac:dyDescent="0.35">
      <c r="A13" s="58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hidden="1" x14ac:dyDescent="0.35">
      <c r="A14" s="58" t="s">
        <v>61</v>
      </c>
      <c r="B14" s="60">
        <f>+B5/B4</f>
        <v>0.26189999999999997</v>
      </c>
      <c r="C14" s="60">
        <f>+C5/C4</f>
        <v>0.52379999999999993</v>
      </c>
      <c r="D14" s="60">
        <f>+D5/D4</f>
        <v>0.26189999999999997</v>
      </c>
      <c r="E14" s="60">
        <f>+E5/E4</f>
        <v>0.26190000000000002</v>
      </c>
      <c r="F14" s="60">
        <f>+F5/F4</f>
        <v>0.26189999999999997</v>
      </c>
      <c r="G14" s="60">
        <f t="shared" ref="G14:J14" si="4">+G5/G4</f>
        <v>0.26189999999999997</v>
      </c>
      <c r="H14" s="60">
        <f t="shared" si="4"/>
        <v>0.26190000000000002</v>
      </c>
      <c r="I14" s="60">
        <f t="shared" si="4"/>
        <v>0.26189999999999997</v>
      </c>
      <c r="J14" s="60">
        <f t="shared" si="4"/>
        <v>0.26189999999999997</v>
      </c>
      <c r="K14" s="50"/>
    </row>
    <row r="15" spans="1:11" hidden="1" x14ac:dyDescent="0.35">
      <c r="A15" s="58" t="s">
        <v>62</v>
      </c>
      <c r="B15" s="59">
        <f>+B11/B4</f>
        <v>1.7668833333333336</v>
      </c>
      <c r="C15" s="59">
        <f>+C11/C4</f>
        <v>2.2178833333333334</v>
      </c>
      <c r="D15" s="59">
        <f>+D11/D4</f>
        <v>0.58258166666666666</v>
      </c>
      <c r="E15" s="59">
        <f>+E11/E4</f>
        <v>0.5449857142857143</v>
      </c>
      <c r="F15" s="59">
        <f>+F11/F4</f>
        <v>0.61444555555555558</v>
      </c>
      <c r="G15" s="59">
        <f t="shared" ref="G15:J15" si="5">+G11/G4</f>
        <v>0.57358166666666666</v>
      </c>
      <c r="H15" s="59">
        <f t="shared" si="5"/>
        <v>0.53855595238095233</v>
      </c>
      <c r="I15" s="59">
        <f t="shared" si="5"/>
        <v>0.57058166666666665</v>
      </c>
      <c r="J15" s="59">
        <f t="shared" si="5"/>
        <v>0.54865000000000008</v>
      </c>
      <c r="K15" s="59">
        <f>+K11/K4</f>
        <v>0.54693049999999988</v>
      </c>
    </row>
    <row r="16" spans="1:11" hidden="1" x14ac:dyDescent="0.35"/>
    <row r="18" spans="1:11" ht="15" thickBot="1" x14ac:dyDescent="0.4"/>
    <row r="19" spans="1:11" x14ac:dyDescent="0.35">
      <c r="A19" s="61" t="s">
        <v>63</v>
      </c>
      <c r="B19" s="62">
        <v>600</v>
      </c>
      <c r="D19" s="65" t="s">
        <v>64</v>
      </c>
      <c r="E19" s="66" t="s">
        <v>65</v>
      </c>
      <c r="G19" s="310" t="s">
        <v>66</v>
      </c>
      <c r="H19" s="311"/>
      <c r="I19" s="312"/>
    </row>
    <row r="20" spans="1:11" x14ac:dyDescent="0.35">
      <c r="A20" s="63" t="s">
        <v>67</v>
      </c>
      <c r="B20" s="64">
        <v>14</v>
      </c>
      <c r="D20" s="68">
        <v>1</v>
      </c>
      <c r="E20" s="69">
        <v>395</v>
      </c>
      <c r="F20" s="67"/>
      <c r="G20" s="317" t="s">
        <v>53</v>
      </c>
      <c r="H20" s="318"/>
      <c r="I20" s="74">
        <f>+E32</f>
        <v>10</v>
      </c>
      <c r="J20" s="67"/>
    </row>
    <row r="21" spans="1:11" x14ac:dyDescent="0.35">
      <c r="A21" s="63" t="s">
        <v>68</v>
      </c>
      <c r="B21" s="64">
        <v>70</v>
      </c>
      <c r="C21" s="67"/>
      <c r="D21" s="68">
        <v>2</v>
      </c>
      <c r="E21" s="69">
        <v>365</v>
      </c>
      <c r="F21" s="72"/>
      <c r="G21" s="317" t="s">
        <v>148</v>
      </c>
      <c r="H21" s="318"/>
      <c r="I21" s="74">
        <f>+I20*2</f>
        <v>20</v>
      </c>
      <c r="J21" s="72"/>
      <c r="K21" s="67"/>
    </row>
    <row r="22" spans="1:11" x14ac:dyDescent="0.35">
      <c r="A22" s="63" t="s">
        <v>57</v>
      </c>
      <c r="B22" s="71">
        <v>0.12740000000000001</v>
      </c>
      <c r="C22" s="72"/>
      <c r="D22" s="68">
        <v>3</v>
      </c>
      <c r="E22" s="69">
        <v>355</v>
      </c>
      <c r="G22" s="315" t="s">
        <v>3</v>
      </c>
      <c r="H22" s="316"/>
      <c r="I22" s="74">
        <f>+I20*B19/1000</f>
        <v>6</v>
      </c>
    </row>
    <row r="23" spans="1:11" x14ac:dyDescent="0.35">
      <c r="A23" s="63" t="s">
        <v>69</v>
      </c>
      <c r="B23" s="64">
        <v>316</v>
      </c>
      <c r="D23" s="68">
        <v>4</v>
      </c>
      <c r="E23" s="69">
        <v>350</v>
      </c>
      <c r="G23" s="317" t="s">
        <v>64</v>
      </c>
      <c r="H23" s="318"/>
      <c r="I23" s="82">
        <f>+ROUNDUP(I20/$B$20,0)</f>
        <v>1</v>
      </c>
    </row>
    <row r="24" spans="1:11" x14ac:dyDescent="0.35">
      <c r="A24" s="63" t="s">
        <v>71</v>
      </c>
      <c r="B24" s="73">
        <v>0.6</v>
      </c>
      <c r="D24" s="68">
        <v>5</v>
      </c>
      <c r="E24" s="69">
        <v>347</v>
      </c>
      <c r="F24" s="67"/>
      <c r="G24" s="317" t="s">
        <v>70</v>
      </c>
      <c r="H24" s="318"/>
      <c r="I24" s="74">
        <f>+I20*B26</f>
        <v>1571.3999999999999</v>
      </c>
      <c r="J24" s="67"/>
    </row>
    <row r="25" spans="1:11" x14ac:dyDescent="0.35">
      <c r="A25" s="63" t="s">
        <v>65</v>
      </c>
      <c r="B25" s="64">
        <v>395</v>
      </c>
      <c r="C25" s="67"/>
      <c r="D25" s="68">
        <v>6</v>
      </c>
      <c r="E25" s="69">
        <v>345</v>
      </c>
      <c r="G25" s="317" t="s">
        <v>72</v>
      </c>
      <c r="H25" s="318"/>
      <c r="I25" s="74">
        <f>+I24*B22</f>
        <v>200.19636</v>
      </c>
    </row>
    <row r="26" spans="1:11" ht="15" thickBot="1" x14ac:dyDescent="0.4">
      <c r="A26" s="75" t="s">
        <v>74</v>
      </c>
      <c r="B26" s="76">
        <v>157.13999999999999</v>
      </c>
      <c r="D26" s="68">
        <v>7</v>
      </c>
      <c r="E26" s="69">
        <v>326.39999999999998</v>
      </c>
      <c r="G26" s="317" t="s">
        <v>73</v>
      </c>
      <c r="H26" s="318"/>
      <c r="I26" s="74">
        <f>+I23*B21</f>
        <v>70</v>
      </c>
    </row>
    <row r="27" spans="1:11" x14ac:dyDescent="0.35">
      <c r="D27" s="68">
        <v>8</v>
      </c>
      <c r="E27" s="69">
        <v>325</v>
      </c>
      <c r="G27" s="317" t="s">
        <v>75</v>
      </c>
      <c r="H27" s="318"/>
      <c r="I27" s="74">
        <f>+B23*I23+I24*B24</f>
        <v>1258.8399999999999</v>
      </c>
    </row>
    <row r="28" spans="1:11" x14ac:dyDescent="0.35">
      <c r="D28" s="68">
        <v>9</v>
      </c>
      <c r="E28" s="69">
        <v>324</v>
      </c>
      <c r="G28" s="317" t="s">
        <v>76</v>
      </c>
      <c r="H28" s="318"/>
      <c r="I28" s="74">
        <f>+LOOKUP(I23,D20:D29,E20:E29)*I23</f>
        <v>395</v>
      </c>
    </row>
    <row r="29" spans="1:11" ht="15" thickBot="1" x14ac:dyDescent="0.4">
      <c r="D29" s="78">
        <v>10</v>
      </c>
      <c r="E29" s="79">
        <v>323</v>
      </c>
      <c r="G29" s="319"/>
      <c r="H29" s="320"/>
      <c r="I29" s="77"/>
    </row>
    <row r="30" spans="1:11" x14ac:dyDescent="0.35">
      <c r="A30" t="s">
        <v>78</v>
      </c>
      <c r="B30" s="85">
        <f>+B19/2*I31</f>
        <v>174.77181800000002</v>
      </c>
      <c r="C30" s="67"/>
      <c r="G30" s="321" t="s">
        <v>77</v>
      </c>
      <c r="H30" s="322"/>
      <c r="I30" s="80">
        <f>SUM(I24:I29)</f>
        <v>3495.4363599999997</v>
      </c>
    </row>
    <row r="31" spans="1:11" ht="15" thickBot="1" x14ac:dyDescent="0.4">
      <c r="D31" s="58" t="s">
        <v>348</v>
      </c>
      <c r="E31" s="50">
        <f>+'Costeo China'!G3</f>
        <v>19</v>
      </c>
      <c r="G31" s="308" t="s">
        <v>79</v>
      </c>
      <c r="H31" s="309"/>
      <c r="I31" s="81">
        <f>+I30/I22/1000</f>
        <v>0.58257272666666671</v>
      </c>
    </row>
    <row r="32" spans="1:11" x14ac:dyDescent="0.35">
      <c r="D32" s="58" t="s">
        <v>53</v>
      </c>
      <c r="E32" s="50">
        <f>+ROUNDUP(E31/2,0)</f>
        <v>10</v>
      </c>
    </row>
    <row r="33" spans="4:5" x14ac:dyDescent="0.35">
      <c r="D33" s="58" t="s">
        <v>349</v>
      </c>
      <c r="E33" s="50">
        <f>+E32*2-E31</f>
        <v>1</v>
      </c>
    </row>
  </sheetData>
  <mergeCells count="13">
    <mergeCell ref="G31:H31"/>
    <mergeCell ref="G19:I19"/>
    <mergeCell ref="G20:H20"/>
    <mergeCell ref="G22:H22"/>
    <mergeCell ref="G23:H23"/>
    <mergeCell ref="G24:H24"/>
    <mergeCell ref="G25:H25"/>
    <mergeCell ref="G21:H21"/>
    <mergeCell ref="G26:H26"/>
    <mergeCell ref="G27:H27"/>
    <mergeCell ref="G28:H28"/>
    <mergeCell ref="G29:H29"/>
    <mergeCell ref="G30:H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93BD-360A-43F4-BBD9-3CA274365B66}">
  <sheetPr codeName="Hoja8"/>
  <dimension ref="A1:P148"/>
  <sheetViews>
    <sheetView topLeftCell="A109" workbookViewId="0">
      <selection activeCell="E116" sqref="E116"/>
    </sheetView>
  </sheetViews>
  <sheetFormatPr baseColWidth="10" defaultColWidth="8.81640625" defaultRowHeight="14.5" x14ac:dyDescent="0.35"/>
  <cols>
    <col min="1" max="1" width="45.453125" bestFit="1" customWidth="1"/>
    <col min="2" max="2" width="9.1796875" style="191" hidden="1" customWidth="1"/>
    <col min="3" max="3" width="7.453125" style="191" customWidth="1"/>
    <col min="4" max="4" width="8.453125" customWidth="1"/>
    <col min="5" max="5" width="12.26953125" bestFit="1" customWidth="1"/>
    <col min="6" max="7" width="9.1796875"/>
    <col min="8" max="8" width="7.81640625" customWidth="1"/>
    <col min="9" max="9" width="16.453125" style="191" bestFit="1" customWidth="1"/>
    <col min="10" max="10" width="9.1796875"/>
    <col min="11" max="11" width="16.81640625" bestFit="1" customWidth="1"/>
    <col min="12" max="12" width="10.453125" bestFit="1" customWidth="1"/>
    <col min="13" max="13" width="11.26953125" bestFit="1" customWidth="1"/>
    <col min="14" max="14" width="10.453125" bestFit="1" customWidth="1"/>
  </cols>
  <sheetData>
    <row r="1" spans="1:9" s="114" customFormat="1" ht="58" x14ac:dyDescent="0.35">
      <c r="A1" s="125" t="s">
        <v>4</v>
      </c>
      <c r="B1" s="125" t="s">
        <v>228</v>
      </c>
      <c r="C1" s="125" t="s">
        <v>229</v>
      </c>
      <c r="D1" s="126" t="s">
        <v>230</v>
      </c>
      <c r="E1" s="126" t="s">
        <v>231</v>
      </c>
      <c r="F1" s="125" t="s">
        <v>6</v>
      </c>
      <c r="G1" s="126" t="s">
        <v>350</v>
      </c>
      <c r="H1" s="126" t="s">
        <v>351</v>
      </c>
      <c r="I1" s="127" t="s">
        <v>232</v>
      </c>
    </row>
    <row r="2" spans="1:9" s="114" customFormat="1" ht="15" customHeight="1" x14ac:dyDescent="0.35">
      <c r="A2" s="180" t="s">
        <v>236</v>
      </c>
      <c r="B2" s="180"/>
      <c r="C2" s="180"/>
      <c r="D2" s="180"/>
      <c r="E2" s="180"/>
      <c r="F2" s="180"/>
      <c r="G2" s="180"/>
      <c r="H2" s="180"/>
      <c r="I2" s="180"/>
    </row>
    <row r="3" spans="1:9" x14ac:dyDescent="0.35">
      <c r="A3" s="128" t="s">
        <v>352</v>
      </c>
      <c r="B3" s="129" t="s">
        <v>243</v>
      </c>
      <c r="C3" s="146">
        <v>3.6</v>
      </c>
      <c r="D3" s="130">
        <f t="shared" ref="D3:D49" si="0">+C3*0.85</f>
        <v>3.06</v>
      </c>
      <c r="E3" s="130">
        <f>+D3*1.22</f>
        <v>3.7332000000000001</v>
      </c>
      <c r="F3" s="131"/>
      <c r="G3" s="130">
        <f>+H3/1.22</f>
        <v>0</v>
      </c>
      <c r="H3" s="130">
        <f t="shared" ref="H3:H60" si="1">+F3*E3</f>
        <v>0</v>
      </c>
      <c r="I3" s="129" t="s">
        <v>244</v>
      </c>
    </row>
    <row r="4" spans="1:9" x14ac:dyDescent="0.35">
      <c r="A4" s="128" t="s">
        <v>353</v>
      </c>
      <c r="B4" s="129" t="s">
        <v>243</v>
      </c>
      <c r="C4" s="146">
        <v>4.5999999999999996</v>
      </c>
      <c r="D4" s="130">
        <f t="shared" si="0"/>
        <v>3.9099999999999997</v>
      </c>
      <c r="E4" s="130">
        <f>+D4*1.22</f>
        <v>4.7701999999999991</v>
      </c>
      <c r="F4" s="131"/>
      <c r="G4" s="130">
        <f>+H4/1.22</f>
        <v>0</v>
      </c>
      <c r="H4" s="130">
        <f t="shared" si="1"/>
        <v>0</v>
      </c>
      <c r="I4" s="129" t="s">
        <v>244</v>
      </c>
    </row>
    <row r="5" spans="1:9" x14ac:dyDescent="0.35">
      <c r="A5" s="133" t="s">
        <v>354</v>
      </c>
      <c r="B5" s="129" t="s">
        <v>243</v>
      </c>
      <c r="C5" s="146">
        <v>18.03</v>
      </c>
      <c r="D5" s="130">
        <f t="shared" si="0"/>
        <v>15.3255</v>
      </c>
      <c r="E5" s="130">
        <f t="shared" ref="E5:E49" si="2">+D5*1.22</f>
        <v>18.697109999999999</v>
      </c>
      <c r="F5" s="131"/>
      <c r="G5" s="130">
        <f t="shared" ref="G5:G70" si="3">+H5/1.22</f>
        <v>0</v>
      </c>
      <c r="H5" s="130">
        <f t="shared" si="1"/>
        <v>0</v>
      </c>
      <c r="I5" s="129" t="s">
        <v>244</v>
      </c>
    </row>
    <row r="6" spans="1:9" x14ac:dyDescent="0.35">
      <c r="A6" s="128" t="s">
        <v>258</v>
      </c>
      <c r="B6" s="129" t="s">
        <v>243</v>
      </c>
      <c r="C6" s="146">
        <v>0.6</v>
      </c>
      <c r="D6" s="130">
        <f t="shared" si="0"/>
        <v>0.51</v>
      </c>
      <c r="E6" s="130">
        <f t="shared" si="2"/>
        <v>0.62219999999999998</v>
      </c>
      <c r="F6" s="131"/>
      <c r="G6" s="130">
        <f t="shared" si="3"/>
        <v>0</v>
      </c>
      <c r="H6" s="130">
        <f t="shared" si="1"/>
        <v>0</v>
      </c>
      <c r="I6" s="129" t="s">
        <v>244</v>
      </c>
    </row>
    <row r="7" spans="1:9" ht="14.5" customHeight="1" x14ac:dyDescent="0.35">
      <c r="A7" s="133" t="s">
        <v>261</v>
      </c>
      <c r="B7" s="129" t="s">
        <v>243</v>
      </c>
      <c r="C7" s="146">
        <v>4.16</v>
      </c>
      <c r="D7" s="130">
        <f t="shared" si="0"/>
        <v>3.536</v>
      </c>
      <c r="E7" s="130">
        <f t="shared" si="2"/>
        <v>4.3139199999999995</v>
      </c>
      <c r="F7" s="131"/>
      <c r="G7" s="130">
        <f t="shared" si="3"/>
        <v>0</v>
      </c>
      <c r="H7" s="130">
        <f t="shared" si="1"/>
        <v>0</v>
      </c>
      <c r="I7" s="129" t="s">
        <v>244</v>
      </c>
    </row>
    <row r="8" spans="1:9" x14ac:dyDescent="0.35">
      <c r="A8" s="192" t="s">
        <v>267</v>
      </c>
      <c r="B8" s="129" t="s">
        <v>243</v>
      </c>
      <c r="C8" s="146">
        <v>0.44</v>
      </c>
      <c r="D8" s="130">
        <f t="shared" si="0"/>
        <v>0.374</v>
      </c>
      <c r="E8" s="130">
        <f t="shared" si="2"/>
        <v>0.45627999999999996</v>
      </c>
      <c r="F8" s="131"/>
      <c r="G8" s="130">
        <f t="shared" si="3"/>
        <v>0</v>
      </c>
      <c r="H8" s="130">
        <f t="shared" si="1"/>
        <v>0</v>
      </c>
      <c r="I8" s="129" t="s">
        <v>244</v>
      </c>
    </row>
    <row r="9" spans="1:9" x14ac:dyDescent="0.35">
      <c r="A9" s="192" t="s">
        <v>270</v>
      </c>
      <c r="B9" s="129" t="s">
        <v>243</v>
      </c>
      <c r="C9" s="146">
        <v>0.7</v>
      </c>
      <c r="D9" s="130">
        <f t="shared" si="0"/>
        <v>0.59499999999999997</v>
      </c>
      <c r="E9" s="130">
        <f t="shared" si="2"/>
        <v>0.72589999999999999</v>
      </c>
      <c r="F9" s="131"/>
      <c r="G9" s="130">
        <f t="shared" si="3"/>
        <v>0</v>
      </c>
      <c r="H9" s="130">
        <f t="shared" si="1"/>
        <v>0</v>
      </c>
      <c r="I9" s="129" t="s">
        <v>244</v>
      </c>
    </row>
    <row r="10" spans="1:9" x14ac:dyDescent="0.35">
      <c r="A10" s="192" t="s">
        <v>355</v>
      </c>
      <c r="B10" s="129" t="s">
        <v>243</v>
      </c>
      <c r="C10" s="146">
        <v>3.76</v>
      </c>
      <c r="D10" s="130">
        <f t="shared" si="0"/>
        <v>3.1959999999999997</v>
      </c>
      <c r="E10" s="130">
        <f t="shared" si="2"/>
        <v>3.8991199999999995</v>
      </c>
      <c r="F10" s="131"/>
      <c r="G10" s="130">
        <f t="shared" si="3"/>
        <v>0</v>
      </c>
      <c r="H10" s="130">
        <f t="shared" si="1"/>
        <v>0</v>
      </c>
      <c r="I10" s="129" t="s">
        <v>244</v>
      </c>
    </row>
    <row r="11" spans="1:9" x14ac:dyDescent="0.35">
      <c r="A11" s="192" t="s">
        <v>356</v>
      </c>
      <c r="B11" s="129" t="s">
        <v>243</v>
      </c>
      <c r="C11" s="146">
        <v>1.05</v>
      </c>
      <c r="D11" s="130">
        <f t="shared" si="0"/>
        <v>0.89249999999999996</v>
      </c>
      <c r="E11" s="130">
        <f t="shared" si="2"/>
        <v>1.0888499999999999</v>
      </c>
      <c r="F11" s="131"/>
      <c r="G11" s="130">
        <f t="shared" si="3"/>
        <v>0</v>
      </c>
      <c r="H11" s="130">
        <f t="shared" si="1"/>
        <v>0</v>
      </c>
      <c r="I11" s="129" t="s">
        <v>244</v>
      </c>
    </row>
    <row r="12" spans="1:9" x14ac:dyDescent="0.35">
      <c r="A12" s="192" t="s">
        <v>357</v>
      </c>
      <c r="B12" s="129" t="s">
        <v>243</v>
      </c>
      <c r="C12" s="146">
        <v>0.33</v>
      </c>
      <c r="D12" s="130">
        <f t="shared" si="0"/>
        <v>0.28050000000000003</v>
      </c>
      <c r="E12" s="130">
        <f t="shared" si="2"/>
        <v>0.34221000000000001</v>
      </c>
      <c r="F12" s="131"/>
      <c r="G12" s="130">
        <f t="shared" si="3"/>
        <v>0</v>
      </c>
      <c r="H12" s="130">
        <f t="shared" si="1"/>
        <v>0</v>
      </c>
      <c r="I12" s="129" t="s">
        <v>244</v>
      </c>
    </row>
    <row r="13" spans="1:9" x14ac:dyDescent="0.35">
      <c r="A13" s="192" t="s">
        <v>272</v>
      </c>
      <c r="B13" s="129" t="s">
        <v>273</v>
      </c>
      <c r="C13" s="146">
        <v>1.43</v>
      </c>
      <c r="D13" s="130">
        <f t="shared" si="0"/>
        <v>1.2155</v>
      </c>
      <c r="E13" s="130">
        <f t="shared" si="2"/>
        <v>1.48291</v>
      </c>
      <c r="F13" s="131"/>
      <c r="G13" s="130">
        <f t="shared" si="3"/>
        <v>0</v>
      </c>
      <c r="H13" s="130">
        <f t="shared" si="1"/>
        <v>0</v>
      </c>
      <c r="I13" s="129" t="s">
        <v>244</v>
      </c>
    </row>
    <row r="14" spans="1:9" x14ac:dyDescent="0.35">
      <c r="A14" s="192" t="s">
        <v>358</v>
      </c>
      <c r="B14" s="129"/>
      <c r="C14" s="193">
        <v>1</v>
      </c>
      <c r="D14" s="130">
        <f t="shared" si="0"/>
        <v>0.85</v>
      </c>
      <c r="E14" s="130">
        <f t="shared" si="2"/>
        <v>1.0369999999999999</v>
      </c>
      <c r="F14" s="131"/>
      <c r="G14" s="130">
        <f t="shared" si="3"/>
        <v>0</v>
      </c>
      <c r="H14" s="130">
        <f t="shared" si="1"/>
        <v>0</v>
      </c>
      <c r="I14" s="129" t="s">
        <v>244</v>
      </c>
    </row>
    <row r="15" spans="1:9" x14ac:dyDescent="0.35">
      <c r="A15" s="188" t="s">
        <v>359</v>
      </c>
      <c r="B15" s="129" t="s">
        <v>243</v>
      </c>
      <c r="C15" s="146">
        <v>0.65</v>
      </c>
      <c r="D15" s="130">
        <f t="shared" si="0"/>
        <v>0.55249999999999999</v>
      </c>
      <c r="E15" s="130">
        <f t="shared" si="2"/>
        <v>0.67404999999999993</v>
      </c>
      <c r="F15" s="131"/>
      <c r="G15" s="130">
        <f t="shared" si="3"/>
        <v>0</v>
      </c>
      <c r="H15" s="130">
        <f t="shared" si="1"/>
        <v>0</v>
      </c>
      <c r="I15" s="129" t="s">
        <v>244</v>
      </c>
    </row>
    <row r="16" spans="1:9" x14ac:dyDescent="0.35">
      <c r="A16" s="188" t="s">
        <v>360</v>
      </c>
      <c r="B16" s="129" t="s">
        <v>243</v>
      </c>
      <c r="C16" s="146">
        <v>5.7</v>
      </c>
      <c r="D16" s="130">
        <f t="shared" si="0"/>
        <v>4.8449999999999998</v>
      </c>
      <c r="E16" s="130">
        <f t="shared" si="2"/>
        <v>5.9108999999999998</v>
      </c>
      <c r="F16" s="131"/>
      <c r="G16" s="130">
        <f t="shared" si="3"/>
        <v>0</v>
      </c>
      <c r="H16" s="130">
        <f t="shared" si="1"/>
        <v>0</v>
      </c>
      <c r="I16" s="129" t="s">
        <v>244</v>
      </c>
    </row>
    <row r="17" spans="1:9" x14ac:dyDescent="0.35">
      <c r="A17" s="188" t="s">
        <v>361</v>
      </c>
      <c r="B17" s="129" t="s">
        <v>243</v>
      </c>
      <c r="C17" s="146">
        <v>1.33</v>
      </c>
      <c r="D17" s="130">
        <f t="shared" si="0"/>
        <v>1.1305000000000001</v>
      </c>
      <c r="E17" s="130">
        <f t="shared" si="2"/>
        <v>1.37921</v>
      </c>
      <c r="F17" s="131"/>
      <c r="G17" s="130">
        <f t="shared" si="3"/>
        <v>0</v>
      </c>
      <c r="H17" s="130">
        <f t="shared" si="1"/>
        <v>0</v>
      </c>
      <c r="I17" s="129" t="s">
        <v>244</v>
      </c>
    </row>
    <row r="18" spans="1:9" x14ac:dyDescent="0.35">
      <c r="A18" s="188" t="s">
        <v>362</v>
      </c>
      <c r="B18" s="129" t="s">
        <v>243</v>
      </c>
      <c r="C18" s="146">
        <v>0.44</v>
      </c>
      <c r="D18" s="130">
        <f t="shared" si="0"/>
        <v>0.374</v>
      </c>
      <c r="E18" s="130">
        <f t="shared" si="2"/>
        <v>0.45627999999999996</v>
      </c>
      <c r="F18" s="131"/>
      <c r="G18" s="130">
        <f t="shared" si="3"/>
        <v>0</v>
      </c>
      <c r="H18" s="130">
        <f t="shared" si="1"/>
        <v>0</v>
      </c>
      <c r="I18" s="129" t="s">
        <v>244</v>
      </c>
    </row>
    <row r="19" spans="1:9" x14ac:dyDescent="0.35">
      <c r="A19" s="188" t="s">
        <v>363</v>
      </c>
      <c r="B19" s="129" t="s">
        <v>243</v>
      </c>
      <c r="C19" s="146">
        <v>0.69</v>
      </c>
      <c r="D19" s="130">
        <f t="shared" si="0"/>
        <v>0.58649999999999991</v>
      </c>
      <c r="E19" s="130">
        <f t="shared" si="2"/>
        <v>0.71552999999999989</v>
      </c>
      <c r="F19" s="131"/>
      <c r="G19" s="130">
        <f t="shared" si="3"/>
        <v>0</v>
      </c>
      <c r="H19" s="130">
        <f t="shared" si="1"/>
        <v>0</v>
      </c>
      <c r="I19" s="129" t="s">
        <v>244</v>
      </c>
    </row>
    <row r="20" spans="1:9" x14ac:dyDescent="0.35">
      <c r="A20" s="188" t="s">
        <v>364</v>
      </c>
      <c r="B20" s="129" t="s">
        <v>273</v>
      </c>
      <c r="C20" s="146">
        <v>1.69</v>
      </c>
      <c r="D20" s="130">
        <f t="shared" si="0"/>
        <v>1.4364999999999999</v>
      </c>
      <c r="E20" s="130">
        <f t="shared" si="2"/>
        <v>1.7525299999999999</v>
      </c>
      <c r="F20" s="131"/>
      <c r="G20" s="130">
        <f t="shared" si="3"/>
        <v>0</v>
      </c>
      <c r="H20" s="130">
        <f t="shared" si="1"/>
        <v>0</v>
      </c>
      <c r="I20" s="129" t="s">
        <v>244</v>
      </c>
    </row>
    <row r="21" spans="1:9" x14ac:dyDescent="0.35">
      <c r="A21" s="188" t="s">
        <v>365</v>
      </c>
      <c r="B21" s="129"/>
      <c r="C21" s="193">
        <v>1.5</v>
      </c>
      <c r="D21" s="130">
        <f t="shared" si="0"/>
        <v>1.2749999999999999</v>
      </c>
      <c r="E21" s="130">
        <f t="shared" si="2"/>
        <v>1.5554999999999999</v>
      </c>
      <c r="F21" s="131"/>
      <c r="G21" s="130">
        <f t="shared" si="3"/>
        <v>0</v>
      </c>
      <c r="H21" s="130">
        <f t="shared" si="1"/>
        <v>0</v>
      </c>
      <c r="I21" s="129" t="s">
        <v>244</v>
      </c>
    </row>
    <row r="22" spans="1:9" x14ac:dyDescent="0.35">
      <c r="A22" s="128" t="s">
        <v>301</v>
      </c>
      <c r="B22" s="129" t="s">
        <v>273</v>
      </c>
      <c r="C22" s="146">
        <v>1.59</v>
      </c>
      <c r="D22" s="130">
        <f>+C22*0.85</f>
        <v>1.3514999999999999</v>
      </c>
      <c r="E22" s="130">
        <f>+D22*1.22</f>
        <v>1.6488299999999998</v>
      </c>
      <c r="F22" s="131"/>
      <c r="G22" s="130">
        <f>+H22/1.22</f>
        <v>0</v>
      </c>
      <c r="H22" s="130">
        <f>+F22*E22</f>
        <v>0</v>
      </c>
      <c r="I22" s="129" t="s">
        <v>244</v>
      </c>
    </row>
    <row r="23" spans="1:9" x14ac:dyDescent="0.35">
      <c r="A23" s="128" t="s">
        <v>303</v>
      </c>
      <c r="B23" s="129" t="s">
        <v>273</v>
      </c>
      <c r="C23" s="193">
        <v>2.5</v>
      </c>
      <c r="D23" s="130">
        <f>+C23*0.85</f>
        <v>2.125</v>
      </c>
      <c r="E23" s="130">
        <f>+D23*1.22</f>
        <v>2.5924999999999998</v>
      </c>
      <c r="F23" s="131"/>
      <c r="G23" s="130">
        <f>+H23/1.22</f>
        <v>0</v>
      </c>
      <c r="H23" s="130">
        <f>+F23*E23</f>
        <v>0</v>
      </c>
      <c r="I23" s="129" t="s">
        <v>244</v>
      </c>
    </row>
    <row r="24" spans="1:9" x14ac:dyDescent="0.35">
      <c r="A24" s="128" t="s">
        <v>304</v>
      </c>
      <c r="B24" s="129"/>
      <c r="C24" s="146">
        <v>3.98</v>
      </c>
      <c r="D24" s="130">
        <f t="shared" ref="D24:D26" si="4">+C24*0.85</f>
        <v>3.383</v>
      </c>
      <c r="E24" s="130">
        <f t="shared" ref="E24:E26" si="5">+D24*1.22</f>
        <v>4.1272599999999997</v>
      </c>
      <c r="F24" s="131"/>
      <c r="G24" s="130">
        <f t="shared" ref="G24:G26" si="6">+H24/1.22</f>
        <v>0</v>
      </c>
      <c r="H24" s="130">
        <f t="shared" ref="H24:H26" si="7">+F24*E24</f>
        <v>0</v>
      </c>
      <c r="I24" s="129" t="s">
        <v>244</v>
      </c>
    </row>
    <row r="25" spans="1:9" x14ac:dyDescent="0.35">
      <c r="A25" s="128" t="s">
        <v>366</v>
      </c>
      <c r="B25" s="129"/>
      <c r="C25" s="146">
        <v>6.76</v>
      </c>
      <c r="D25" s="130">
        <f t="shared" si="4"/>
        <v>5.7459999999999996</v>
      </c>
      <c r="E25" s="130">
        <f t="shared" si="5"/>
        <v>7.0101199999999997</v>
      </c>
      <c r="F25" s="131"/>
      <c r="G25" s="130">
        <f t="shared" si="6"/>
        <v>0</v>
      </c>
      <c r="H25" s="130">
        <f t="shared" si="7"/>
        <v>0</v>
      </c>
      <c r="I25" s="129" t="s">
        <v>244</v>
      </c>
    </row>
    <row r="26" spans="1:9" x14ac:dyDescent="0.35">
      <c r="A26" s="192" t="s">
        <v>367</v>
      </c>
      <c r="B26" s="129"/>
      <c r="C26" s="193">
        <v>1</v>
      </c>
      <c r="D26" s="130">
        <f t="shared" si="4"/>
        <v>0.85</v>
      </c>
      <c r="E26" s="130">
        <f t="shared" si="5"/>
        <v>1.0369999999999999</v>
      </c>
      <c r="F26" s="131"/>
      <c r="G26" s="130">
        <f t="shared" si="6"/>
        <v>0</v>
      </c>
      <c r="H26" s="130">
        <f t="shared" si="7"/>
        <v>0</v>
      </c>
      <c r="I26" s="129" t="s">
        <v>244</v>
      </c>
    </row>
    <row r="27" spans="1:9" x14ac:dyDescent="0.35">
      <c r="A27" s="192" t="s">
        <v>289</v>
      </c>
      <c r="B27" s="129" t="s">
        <v>273</v>
      </c>
      <c r="C27" s="146">
        <v>0.97</v>
      </c>
      <c r="D27" s="130">
        <f>+C27*0.85</f>
        <v>0.82450000000000001</v>
      </c>
      <c r="E27" s="130">
        <f t="shared" si="2"/>
        <v>1.00589</v>
      </c>
      <c r="F27" s="131"/>
      <c r="G27" s="130">
        <f t="shared" si="3"/>
        <v>0</v>
      </c>
      <c r="H27" s="130">
        <f t="shared" si="1"/>
        <v>0</v>
      </c>
      <c r="I27" s="129" t="s">
        <v>244</v>
      </c>
    </row>
    <row r="28" spans="1:9" x14ac:dyDescent="0.35">
      <c r="A28" s="192" t="s">
        <v>290</v>
      </c>
      <c r="B28" s="129" t="s">
        <v>273</v>
      </c>
      <c r="C28" s="146">
        <v>0.97</v>
      </c>
      <c r="D28" s="130">
        <f>+C28*0.85</f>
        <v>0.82450000000000001</v>
      </c>
      <c r="E28" s="130">
        <f t="shared" si="2"/>
        <v>1.00589</v>
      </c>
      <c r="F28" s="131"/>
      <c r="G28" s="130">
        <f t="shared" si="3"/>
        <v>0</v>
      </c>
      <c r="H28" s="130">
        <f t="shared" si="1"/>
        <v>0</v>
      </c>
      <c r="I28" s="129" t="s">
        <v>244</v>
      </c>
    </row>
    <row r="29" spans="1:9" x14ac:dyDescent="0.35">
      <c r="A29" s="128" t="s">
        <v>368</v>
      </c>
      <c r="B29" s="129" t="s">
        <v>273</v>
      </c>
      <c r="C29" s="146">
        <v>0.65</v>
      </c>
      <c r="D29" s="130">
        <f t="shared" ref="D29:D37" si="8">+C29*0.85</f>
        <v>0.55249999999999999</v>
      </c>
      <c r="E29" s="130">
        <f t="shared" si="2"/>
        <v>0.67404999999999993</v>
      </c>
      <c r="F29" s="131"/>
      <c r="G29" s="130">
        <f t="shared" si="3"/>
        <v>0</v>
      </c>
      <c r="H29" s="130">
        <f t="shared" si="1"/>
        <v>0</v>
      </c>
      <c r="I29" s="129" t="s">
        <v>244</v>
      </c>
    </row>
    <row r="30" spans="1:9" x14ac:dyDescent="0.35">
      <c r="A30" s="128" t="s">
        <v>369</v>
      </c>
      <c r="B30" s="129"/>
      <c r="C30" s="193">
        <v>1</v>
      </c>
      <c r="D30" s="130">
        <f t="shared" si="8"/>
        <v>0.85</v>
      </c>
      <c r="E30" s="130">
        <f t="shared" si="2"/>
        <v>1.0369999999999999</v>
      </c>
      <c r="F30" s="131"/>
      <c r="G30" s="130">
        <f t="shared" si="3"/>
        <v>0</v>
      </c>
      <c r="H30" s="130">
        <f t="shared" si="1"/>
        <v>0</v>
      </c>
      <c r="I30" s="129" t="s">
        <v>244</v>
      </c>
    </row>
    <row r="31" spans="1:9" x14ac:dyDescent="0.35">
      <c r="A31" s="128" t="s">
        <v>370</v>
      </c>
      <c r="B31" s="129"/>
      <c r="C31" s="146">
        <v>1.74</v>
      </c>
      <c r="D31" s="130">
        <f t="shared" si="8"/>
        <v>1.4789999999999999</v>
      </c>
      <c r="E31" s="130">
        <f t="shared" si="2"/>
        <v>1.8043799999999999</v>
      </c>
      <c r="F31" s="131"/>
      <c r="G31" s="130">
        <f t="shared" si="3"/>
        <v>0</v>
      </c>
      <c r="H31" s="130">
        <f t="shared" si="1"/>
        <v>0</v>
      </c>
      <c r="I31" s="129" t="s">
        <v>244</v>
      </c>
    </row>
    <row r="32" spans="1:9" x14ac:dyDescent="0.35">
      <c r="A32" s="192" t="s">
        <v>371</v>
      </c>
      <c r="B32" s="129"/>
      <c r="C32" s="146">
        <v>1.74</v>
      </c>
      <c r="D32" s="130">
        <f t="shared" si="8"/>
        <v>1.4789999999999999</v>
      </c>
      <c r="E32" s="130">
        <f t="shared" si="2"/>
        <v>1.8043799999999999</v>
      </c>
      <c r="F32" s="131"/>
      <c r="G32" s="130">
        <f t="shared" si="3"/>
        <v>0</v>
      </c>
      <c r="H32" s="130">
        <f t="shared" si="1"/>
        <v>0</v>
      </c>
      <c r="I32" s="129" t="s">
        <v>244</v>
      </c>
    </row>
    <row r="33" spans="1:9" x14ac:dyDescent="0.35">
      <c r="A33" s="192" t="s">
        <v>292</v>
      </c>
      <c r="B33" s="129" t="s">
        <v>273</v>
      </c>
      <c r="C33" s="146">
        <v>1.74</v>
      </c>
      <c r="D33" s="130">
        <f t="shared" si="8"/>
        <v>1.4789999999999999</v>
      </c>
      <c r="E33" s="130">
        <f t="shared" si="2"/>
        <v>1.8043799999999999</v>
      </c>
      <c r="F33" s="131"/>
      <c r="G33" s="130">
        <f t="shared" si="3"/>
        <v>0</v>
      </c>
      <c r="H33" s="130">
        <f t="shared" si="1"/>
        <v>0</v>
      </c>
      <c r="I33" s="129" t="s">
        <v>244</v>
      </c>
    </row>
    <row r="34" spans="1:9" x14ac:dyDescent="0.35">
      <c r="A34" s="192" t="s">
        <v>293</v>
      </c>
      <c r="B34" s="129" t="s">
        <v>273</v>
      </c>
      <c r="C34" s="146">
        <v>1.74</v>
      </c>
      <c r="D34" s="130">
        <f t="shared" si="8"/>
        <v>1.4789999999999999</v>
      </c>
      <c r="E34" s="130">
        <f t="shared" si="2"/>
        <v>1.8043799999999999</v>
      </c>
      <c r="F34" s="131"/>
      <c r="G34" s="130">
        <f t="shared" si="3"/>
        <v>0</v>
      </c>
      <c r="H34" s="130">
        <f t="shared" si="1"/>
        <v>0</v>
      </c>
      <c r="I34" s="129" t="s">
        <v>244</v>
      </c>
    </row>
    <row r="35" spans="1:9" x14ac:dyDescent="0.35">
      <c r="A35" s="128" t="s">
        <v>372</v>
      </c>
      <c r="B35" s="129"/>
      <c r="C35" s="146">
        <v>2.73</v>
      </c>
      <c r="D35" s="130">
        <f t="shared" si="8"/>
        <v>2.3205</v>
      </c>
      <c r="E35" s="130">
        <f t="shared" si="2"/>
        <v>2.83101</v>
      </c>
      <c r="F35" s="131"/>
      <c r="G35" s="130">
        <f t="shared" si="3"/>
        <v>0</v>
      </c>
      <c r="H35" s="130">
        <f t="shared" si="1"/>
        <v>0</v>
      </c>
      <c r="I35" s="129" t="s">
        <v>244</v>
      </c>
    </row>
    <row r="36" spans="1:9" x14ac:dyDescent="0.35">
      <c r="A36" s="128" t="s">
        <v>373</v>
      </c>
      <c r="B36" s="129"/>
      <c r="C36" s="146">
        <v>2.73</v>
      </c>
      <c r="D36" s="130">
        <f t="shared" si="8"/>
        <v>2.3205</v>
      </c>
      <c r="E36" s="130">
        <f t="shared" si="2"/>
        <v>2.83101</v>
      </c>
      <c r="F36" s="131"/>
      <c r="G36" s="130">
        <f t="shared" si="3"/>
        <v>0</v>
      </c>
      <c r="H36" s="130">
        <f t="shared" si="1"/>
        <v>0</v>
      </c>
      <c r="I36" s="129" t="s">
        <v>244</v>
      </c>
    </row>
    <row r="37" spans="1:9" x14ac:dyDescent="0.35">
      <c r="A37" s="128" t="s">
        <v>374</v>
      </c>
      <c r="B37" s="129"/>
      <c r="C37" s="146">
        <v>2.73</v>
      </c>
      <c r="D37" s="130">
        <f t="shared" si="8"/>
        <v>2.3205</v>
      </c>
      <c r="E37" s="130">
        <f t="shared" si="2"/>
        <v>2.83101</v>
      </c>
      <c r="F37" s="131"/>
      <c r="G37" s="130">
        <f t="shared" si="3"/>
        <v>0</v>
      </c>
      <c r="H37" s="130">
        <f t="shared" si="1"/>
        <v>0</v>
      </c>
      <c r="I37" s="129" t="s">
        <v>244</v>
      </c>
    </row>
    <row r="38" spans="1:9" x14ac:dyDescent="0.35">
      <c r="A38" s="128" t="s">
        <v>305</v>
      </c>
      <c r="B38" s="129" t="s">
        <v>243</v>
      </c>
      <c r="C38" s="146">
        <v>2.13</v>
      </c>
      <c r="D38" s="130">
        <f t="shared" si="0"/>
        <v>1.8104999999999998</v>
      </c>
      <c r="E38" s="130">
        <f t="shared" si="2"/>
        <v>2.2088099999999997</v>
      </c>
      <c r="F38" s="131"/>
      <c r="G38" s="130">
        <f t="shared" si="3"/>
        <v>0</v>
      </c>
      <c r="H38" s="130">
        <f t="shared" si="1"/>
        <v>0</v>
      </c>
      <c r="I38" s="129" t="s">
        <v>244</v>
      </c>
    </row>
    <row r="39" spans="1:9" x14ac:dyDescent="0.35">
      <c r="A39" s="128" t="s">
        <v>306</v>
      </c>
      <c r="B39" s="129" t="s">
        <v>243</v>
      </c>
      <c r="C39" s="146">
        <v>5.75</v>
      </c>
      <c r="D39" s="130">
        <f t="shared" si="0"/>
        <v>4.8875000000000002</v>
      </c>
      <c r="E39" s="130">
        <f t="shared" si="2"/>
        <v>5.9627499999999998</v>
      </c>
      <c r="F39" s="131"/>
      <c r="G39" s="130">
        <f t="shared" si="3"/>
        <v>0</v>
      </c>
      <c r="H39" s="130">
        <f t="shared" si="1"/>
        <v>0</v>
      </c>
      <c r="I39" s="129" t="s">
        <v>244</v>
      </c>
    </row>
    <row r="40" spans="1:9" x14ac:dyDescent="0.35">
      <c r="A40" s="128" t="s">
        <v>308</v>
      </c>
      <c r="B40" s="129" t="s">
        <v>243</v>
      </c>
      <c r="C40" s="146">
        <v>22.34</v>
      </c>
      <c r="D40" s="130">
        <f t="shared" si="0"/>
        <v>18.989000000000001</v>
      </c>
      <c r="E40" s="130">
        <f t="shared" si="2"/>
        <v>23.16658</v>
      </c>
      <c r="F40" s="131"/>
      <c r="G40" s="130">
        <f t="shared" si="3"/>
        <v>0</v>
      </c>
      <c r="H40" s="130">
        <f t="shared" si="1"/>
        <v>0</v>
      </c>
      <c r="I40" s="129" t="s">
        <v>244</v>
      </c>
    </row>
    <row r="41" spans="1:9" ht="14.5" customHeight="1" x14ac:dyDescent="0.35">
      <c r="A41" s="128" t="s">
        <v>309</v>
      </c>
      <c r="B41" s="129" t="s">
        <v>243</v>
      </c>
      <c r="C41" s="146">
        <v>2.78</v>
      </c>
      <c r="D41" s="130">
        <f t="shared" si="0"/>
        <v>2.363</v>
      </c>
      <c r="E41" s="130">
        <f t="shared" si="2"/>
        <v>2.88286</v>
      </c>
      <c r="F41" s="131"/>
      <c r="G41" s="130">
        <f t="shared" si="3"/>
        <v>0</v>
      </c>
      <c r="H41" s="130">
        <f t="shared" si="1"/>
        <v>0</v>
      </c>
      <c r="I41" s="129" t="s">
        <v>244</v>
      </c>
    </row>
    <row r="42" spans="1:9" ht="14.5" customHeight="1" x14ac:dyDescent="0.35">
      <c r="A42" s="134" t="s">
        <v>375</v>
      </c>
      <c r="B42" s="129" t="s">
        <v>243</v>
      </c>
      <c r="C42" s="146">
        <v>0.11</v>
      </c>
      <c r="D42" s="130">
        <f t="shared" si="0"/>
        <v>9.35E-2</v>
      </c>
      <c r="E42" s="130">
        <f t="shared" si="2"/>
        <v>0.11406999999999999</v>
      </c>
      <c r="F42" s="131"/>
      <c r="G42" s="130">
        <f t="shared" si="3"/>
        <v>0</v>
      </c>
      <c r="H42" s="130">
        <f t="shared" si="1"/>
        <v>0</v>
      </c>
      <c r="I42" s="129" t="s">
        <v>244</v>
      </c>
    </row>
    <row r="43" spans="1:9" ht="15" customHeight="1" x14ac:dyDescent="0.35">
      <c r="A43" s="134" t="s">
        <v>317</v>
      </c>
      <c r="B43" s="129" t="s">
        <v>243</v>
      </c>
      <c r="C43" s="146">
        <v>0.02</v>
      </c>
      <c r="D43" s="130">
        <f t="shared" si="0"/>
        <v>1.7000000000000001E-2</v>
      </c>
      <c r="E43" s="130">
        <f t="shared" si="2"/>
        <v>2.0740000000000001E-2</v>
      </c>
      <c r="F43" s="131"/>
      <c r="G43" s="130">
        <f t="shared" si="3"/>
        <v>0</v>
      </c>
      <c r="H43" s="130">
        <f t="shared" si="1"/>
        <v>0</v>
      </c>
      <c r="I43" s="129" t="s">
        <v>244</v>
      </c>
    </row>
    <row r="44" spans="1:9" ht="15" customHeight="1" x14ac:dyDescent="0.35">
      <c r="A44" s="134" t="s">
        <v>318</v>
      </c>
      <c r="B44" s="129" t="s">
        <v>243</v>
      </c>
      <c r="C44" s="146">
        <v>0.03</v>
      </c>
      <c r="D44" s="130">
        <f t="shared" si="0"/>
        <v>2.5499999999999998E-2</v>
      </c>
      <c r="E44" s="130">
        <f t="shared" si="2"/>
        <v>3.1109999999999999E-2</v>
      </c>
      <c r="F44" s="131"/>
      <c r="G44" s="130">
        <f t="shared" si="3"/>
        <v>0</v>
      </c>
      <c r="H44" s="130">
        <f t="shared" si="1"/>
        <v>0</v>
      </c>
      <c r="I44" s="129" t="s">
        <v>244</v>
      </c>
    </row>
    <row r="45" spans="1:9" x14ac:dyDescent="0.35">
      <c r="A45" s="134" t="s">
        <v>319</v>
      </c>
      <c r="B45" s="129" t="s">
        <v>243</v>
      </c>
      <c r="C45" s="146">
        <v>40.6</v>
      </c>
      <c r="D45" s="130">
        <f t="shared" si="0"/>
        <v>34.51</v>
      </c>
      <c r="E45" s="130">
        <f t="shared" si="2"/>
        <v>42.102199999999996</v>
      </c>
      <c r="F45" s="131"/>
      <c r="G45" s="130">
        <f t="shared" si="3"/>
        <v>0</v>
      </c>
      <c r="H45" s="130">
        <f t="shared" si="1"/>
        <v>0</v>
      </c>
      <c r="I45" s="129" t="s">
        <v>244</v>
      </c>
    </row>
    <row r="46" spans="1:9" ht="15" customHeight="1" x14ac:dyDescent="0.35">
      <c r="A46" s="134" t="s">
        <v>320</v>
      </c>
      <c r="B46" s="129" t="s">
        <v>243</v>
      </c>
      <c r="C46" s="146">
        <v>35.76</v>
      </c>
      <c r="D46" s="130">
        <f t="shared" si="0"/>
        <v>30.395999999999997</v>
      </c>
      <c r="E46" s="130">
        <f t="shared" si="2"/>
        <v>37.083119999999994</v>
      </c>
      <c r="F46" s="131"/>
      <c r="G46" s="130">
        <f t="shared" si="3"/>
        <v>0</v>
      </c>
      <c r="H46" s="130">
        <f t="shared" si="1"/>
        <v>0</v>
      </c>
      <c r="I46" s="129" t="s">
        <v>244</v>
      </c>
    </row>
    <row r="47" spans="1:9" ht="15" customHeight="1" x14ac:dyDescent="0.35">
      <c r="A47" s="128" t="s">
        <v>321</v>
      </c>
      <c r="B47" s="129" t="s">
        <v>243</v>
      </c>
      <c r="C47" s="146">
        <v>6.63</v>
      </c>
      <c r="D47" s="130">
        <f t="shared" si="0"/>
        <v>5.6354999999999995</v>
      </c>
      <c r="E47" s="130">
        <f t="shared" si="2"/>
        <v>6.8753099999999989</v>
      </c>
      <c r="F47" s="131"/>
      <c r="G47" s="130">
        <f t="shared" si="3"/>
        <v>0</v>
      </c>
      <c r="H47" s="130">
        <f t="shared" si="1"/>
        <v>0</v>
      </c>
      <c r="I47" s="129" t="s">
        <v>244</v>
      </c>
    </row>
    <row r="48" spans="1:9" ht="15" customHeight="1" x14ac:dyDescent="0.35">
      <c r="A48" s="134" t="s">
        <v>322</v>
      </c>
      <c r="B48" s="129" t="s">
        <v>243</v>
      </c>
      <c r="C48" s="146">
        <v>0.88</v>
      </c>
      <c r="D48" s="130">
        <f t="shared" si="0"/>
        <v>0.748</v>
      </c>
      <c r="E48" s="130">
        <f t="shared" si="2"/>
        <v>0.91255999999999993</v>
      </c>
      <c r="F48" s="129"/>
      <c r="G48" s="130">
        <f t="shared" si="3"/>
        <v>0</v>
      </c>
      <c r="H48" s="130">
        <f t="shared" si="1"/>
        <v>0</v>
      </c>
      <c r="I48" s="129" t="s">
        <v>244</v>
      </c>
    </row>
    <row r="49" spans="1:16" ht="15" customHeight="1" x14ac:dyDescent="0.35">
      <c r="A49" s="134" t="s">
        <v>323</v>
      </c>
      <c r="B49" s="129" t="s">
        <v>243</v>
      </c>
      <c r="C49" s="146">
        <v>0.53</v>
      </c>
      <c r="D49" s="130">
        <f t="shared" si="0"/>
        <v>0.45050000000000001</v>
      </c>
      <c r="E49" s="130">
        <f t="shared" si="2"/>
        <v>0.54961000000000004</v>
      </c>
      <c r="F49" s="168"/>
      <c r="G49" s="130">
        <f t="shared" si="3"/>
        <v>0</v>
      </c>
      <c r="H49" s="130">
        <f t="shared" si="1"/>
        <v>0</v>
      </c>
      <c r="I49" s="129" t="s">
        <v>244</v>
      </c>
    </row>
    <row r="50" spans="1:16" ht="15" customHeight="1" x14ac:dyDescent="0.35">
      <c r="A50" s="128" t="s">
        <v>324</v>
      </c>
      <c r="B50" s="129" t="s">
        <v>325</v>
      </c>
      <c r="C50" s="146">
        <v>1.08</v>
      </c>
      <c r="D50" s="130">
        <f>+C50*0.85</f>
        <v>0.91800000000000004</v>
      </c>
      <c r="E50" s="130">
        <f>+D50*1.22</f>
        <v>1.1199600000000001</v>
      </c>
      <c r="F50" s="129"/>
      <c r="G50" s="130">
        <f>+H50/1.22</f>
        <v>0</v>
      </c>
      <c r="H50" s="128">
        <f t="shared" si="1"/>
        <v>0</v>
      </c>
      <c r="I50" s="129" t="s">
        <v>244</v>
      </c>
    </row>
    <row r="51" spans="1:16" ht="15" customHeight="1" x14ac:dyDescent="0.35">
      <c r="A51" s="128" t="s">
        <v>327</v>
      </c>
      <c r="B51" s="129" t="s">
        <v>243</v>
      </c>
      <c r="C51" s="146">
        <v>0.03</v>
      </c>
      <c r="D51" s="130">
        <f>+C51*0.85</f>
        <v>2.5499999999999998E-2</v>
      </c>
      <c r="E51" s="130">
        <f t="shared" ref="E51:E58" si="9">+D51*1.22</f>
        <v>3.1109999999999999E-2</v>
      </c>
      <c r="F51" s="129"/>
      <c r="G51" s="130">
        <f t="shared" ref="G51:G58" si="10">+H51/1.22</f>
        <v>0</v>
      </c>
      <c r="H51" s="128">
        <f t="shared" si="1"/>
        <v>0</v>
      </c>
      <c r="I51" s="129" t="s">
        <v>244</v>
      </c>
    </row>
    <row r="52" spans="1:16" ht="15" customHeight="1" x14ac:dyDescent="0.35">
      <c r="A52" s="128" t="s">
        <v>328</v>
      </c>
      <c r="B52" s="129" t="s">
        <v>243</v>
      </c>
      <c r="C52" s="146">
        <v>0.05</v>
      </c>
      <c r="D52" s="130">
        <f t="shared" ref="D52:D58" si="11">+C52*0.85</f>
        <v>4.2500000000000003E-2</v>
      </c>
      <c r="E52" s="130">
        <f t="shared" si="9"/>
        <v>5.185E-2</v>
      </c>
      <c r="F52" s="129"/>
      <c r="G52" s="130">
        <f t="shared" si="10"/>
        <v>0</v>
      </c>
      <c r="H52" s="128">
        <f t="shared" si="1"/>
        <v>0</v>
      </c>
      <c r="I52" s="129" t="s">
        <v>244</v>
      </c>
    </row>
    <row r="53" spans="1:16" ht="15" customHeight="1" x14ac:dyDescent="0.35">
      <c r="A53" s="128" t="s">
        <v>329</v>
      </c>
      <c r="B53" s="129" t="s">
        <v>243</v>
      </c>
      <c r="C53" s="146">
        <v>0.08</v>
      </c>
      <c r="D53" s="130">
        <f t="shared" si="11"/>
        <v>6.8000000000000005E-2</v>
      </c>
      <c r="E53" s="130">
        <f t="shared" si="9"/>
        <v>8.2960000000000006E-2</v>
      </c>
      <c r="F53" s="129"/>
      <c r="G53" s="130">
        <f t="shared" si="10"/>
        <v>0</v>
      </c>
      <c r="H53" s="128">
        <f t="shared" si="1"/>
        <v>0</v>
      </c>
      <c r="I53" s="129" t="s">
        <v>244</v>
      </c>
    </row>
    <row r="54" spans="1:16" ht="15" customHeight="1" x14ac:dyDescent="0.35">
      <c r="A54" s="128" t="s">
        <v>330</v>
      </c>
      <c r="B54" s="129" t="s">
        <v>243</v>
      </c>
      <c r="C54" s="146">
        <v>1.08</v>
      </c>
      <c r="D54" s="130">
        <f t="shared" si="11"/>
        <v>0.91800000000000004</v>
      </c>
      <c r="E54" s="130">
        <f t="shared" si="9"/>
        <v>1.1199600000000001</v>
      </c>
      <c r="F54" s="129"/>
      <c r="G54" s="130">
        <f t="shared" si="10"/>
        <v>0</v>
      </c>
      <c r="H54" s="128">
        <f t="shared" si="1"/>
        <v>0</v>
      </c>
      <c r="I54" s="129" t="s">
        <v>244</v>
      </c>
    </row>
    <row r="55" spans="1:16" ht="15" customHeight="1" x14ac:dyDescent="0.35">
      <c r="A55" s="128" t="s">
        <v>331</v>
      </c>
      <c r="B55" s="129" t="s">
        <v>243</v>
      </c>
      <c r="C55" s="146">
        <v>1.78</v>
      </c>
      <c r="D55" s="130">
        <f t="shared" si="11"/>
        <v>1.5129999999999999</v>
      </c>
      <c r="E55" s="130">
        <f t="shared" si="9"/>
        <v>1.8458599999999998</v>
      </c>
      <c r="F55" s="129"/>
      <c r="G55" s="130">
        <f t="shared" si="10"/>
        <v>0</v>
      </c>
      <c r="H55" s="128">
        <f t="shared" si="1"/>
        <v>0</v>
      </c>
      <c r="I55" s="129" t="s">
        <v>244</v>
      </c>
    </row>
    <row r="56" spans="1:16" ht="15" customHeight="1" x14ac:dyDescent="0.35">
      <c r="A56" s="128" t="s">
        <v>334</v>
      </c>
      <c r="B56" s="129" t="s">
        <v>243</v>
      </c>
      <c r="C56" s="146">
        <v>2.85</v>
      </c>
      <c r="D56" s="130">
        <f t="shared" si="11"/>
        <v>2.4224999999999999</v>
      </c>
      <c r="E56" s="130">
        <f t="shared" si="9"/>
        <v>2.9554499999999999</v>
      </c>
      <c r="F56" s="129"/>
      <c r="G56" s="130">
        <f t="shared" si="10"/>
        <v>0</v>
      </c>
      <c r="H56" s="128">
        <f t="shared" si="1"/>
        <v>0</v>
      </c>
      <c r="I56" s="129" t="s">
        <v>244</v>
      </c>
    </row>
    <row r="57" spans="1:16" ht="15" customHeight="1" x14ac:dyDescent="0.35">
      <c r="A57" s="128" t="s">
        <v>376</v>
      </c>
      <c r="B57" s="129"/>
      <c r="C57" s="193">
        <v>6</v>
      </c>
      <c r="D57" s="130">
        <f t="shared" si="11"/>
        <v>5.0999999999999996</v>
      </c>
      <c r="E57" s="130">
        <f t="shared" si="9"/>
        <v>6.2219999999999995</v>
      </c>
      <c r="F57" s="131">
        <v>4</v>
      </c>
      <c r="G57" s="130">
        <f t="shared" si="10"/>
        <v>20.399999999999999</v>
      </c>
      <c r="H57" s="130">
        <f t="shared" si="1"/>
        <v>24.887999999999998</v>
      </c>
      <c r="I57" s="129" t="s">
        <v>244</v>
      </c>
    </row>
    <row r="58" spans="1:16" ht="15" customHeight="1" x14ac:dyDescent="0.35">
      <c r="A58" s="128" t="s">
        <v>377</v>
      </c>
      <c r="B58" s="129"/>
      <c r="C58" s="193">
        <v>0.75</v>
      </c>
      <c r="D58" s="130">
        <f t="shared" si="11"/>
        <v>0.63749999999999996</v>
      </c>
      <c r="E58" s="130">
        <f t="shared" si="9"/>
        <v>0.77774999999999994</v>
      </c>
      <c r="F58" s="131">
        <v>5</v>
      </c>
      <c r="G58" s="130">
        <f t="shared" si="10"/>
        <v>3.1875</v>
      </c>
      <c r="H58" s="130">
        <f t="shared" si="1"/>
        <v>3.8887499999999999</v>
      </c>
      <c r="I58" s="129" t="s">
        <v>244</v>
      </c>
    </row>
    <row r="59" spans="1:16" ht="14.5" customHeight="1" x14ac:dyDescent="0.35">
      <c r="A59" s="135" t="s">
        <v>336</v>
      </c>
      <c r="B59" s="136" t="s">
        <v>243</v>
      </c>
      <c r="C59" s="136"/>
      <c r="D59" s="137"/>
      <c r="E59" s="138">
        <v>0.09</v>
      </c>
      <c r="F59" s="139"/>
      <c r="G59" s="137">
        <f t="shared" si="3"/>
        <v>0</v>
      </c>
      <c r="H59" s="137">
        <f t="shared" si="1"/>
        <v>0</v>
      </c>
      <c r="I59" s="136" t="s">
        <v>337</v>
      </c>
    </row>
    <row r="60" spans="1:16" ht="14.5" customHeight="1" x14ac:dyDescent="0.35">
      <c r="A60" s="135" t="s">
        <v>340</v>
      </c>
      <c r="B60" s="136" t="s">
        <v>243</v>
      </c>
      <c r="C60" s="136"/>
      <c r="D60" s="137"/>
      <c r="E60" s="138">
        <v>0.03</v>
      </c>
      <c r="F60" s="139"/>
      <c r="G60" s="137">
        <f t="shared" si="3"/>
        <v>0</v>
      </c>
      <c r="H60" s="137">
        <f t="shared" si="1"/>
        <v>0</v>
      </c>
      <c r="I60" s="136" t="s">
        <v>337</v>
      </c>
    </row>
    <row r="61" spans="1:16" ht="14.5" customHeight="1" x14ac:dyDescent="0.35">
      <c r="A61" s="135" t="s">
        <v>342</v>
      </c>
      <c r="B61" s="136" t="s">
        <v>243</v>
      </c>
      <c r="C61" s="136"/>
      <c r="D61" s="137"/>
      <c r="E61" s="138">
        <v>0.02</v>
      </c>
      <c r="F61" s="139"/>
      <c r="G61" s="137">
        <f t="shared" si="3"/>
        <v>0</v>
      </c>
      <c r="H61" s="137">
        <f>+F61*E61</f>
        <v>0</v>
      </c>
      <c r="I61" s="136" t="s">
        <v>337</v>
      </c>
    </row>
    <row r="62" spans="1:16" ht="14.5" customHeight="1" x14ac:dyDescent="0.35">
      <c r="A62" s="171" t="s">
        <v>343</v>
      </c>
      <c r="B62" s="172" t="s">
        <v>273</v>
      </c>
      <c r="C62" s="172"/>
      <c r="D62" s="173">
        <v>2.2000000000000002</v>
      </c>
      <c r="E62" s="173">
        <f>+D62*1.22</f>
        <v>2.6840000000000002</v>
      </c>
      <c r="F62" s="174"/>
      <c r="G62" s="175">
        <f t="shared" si="3"/>
        <v>0</v>
      </c>
      <c r="H62" s="175">
        <f t="shared" ref="H62:H72" si="12">+F62*E62</f>
        <v>0</v>
      </c>
      <c r="I62" s="172" t="s">
        <v>344</v>
      </c>
    </row>
    <row r="63" spans="1:16" x14ac:dyDescent="0.35">
      <c r="A63" s="171" t="s">
        <v>345</v>
      </c>
      <c r="B63" s="172" t="s">
        <v>243</v>
      </c>
      <c r="C63" s="172"/>
      <c r="D63" s="173">
        <v>24</v>
      </c>
      <c r="E63" s="173">
        <f t="shared" ref="E63:E72" si="13">+D63*1.22</f>
        <v>29.28</v>
      </c>
      <c r="F63" s="174">
        <v>2</v>
      </c>
      <c r="G63" s="175">
        <f t="shared" si="3"/>
        <v>48</v>
      </c>
      <c r="H63" s="175">
        <f t="shared" si="12"/>
        <v>58.56</v>
      </c>
      <c r="I63" s="172" t="s">
        <v>344</v>
      </c>
      <c r="P63" s="112"/>
    </row>
    <row r="64" spans="1:16" ht="14.5" customHeight="1" x14ac:dyDescent="0.35">
      <c r="A64" s="171" t="s">
        <v>346</v>
      </c>
      <c r="B64" s="172" t="s">
        <v>273</v>
      </c>
      <c r="C64" s="172"/>
      <c r="D64" s="173">
        <v>22</v>
      </c>
      <c r="E64" s="173">
        <f t="shared" si="13"/>
        <v>26.84</v>
      </c>
      <c r="F64" s="174">
        <v>1</v>
      </c>
      <c r="G64" s="175">
        <f t="shared" si="3"/>
        <v>22</v>
      </c>
      <c r="H64" s="175">
        <f t="shared" si="12"/>
        <v>26.84</v>
      </c>
      <c r="I64" s="172" t="s">
        <v>344</v>
      </c>
    </row>
    <row r="65" spans="1:16" ht="14.5" customHeight="1" x14ac:dyDescent="0.35">
      <c r="A65" s="171" t="s">
        <v>378</v>
      </c>
      <c r="B65" s="172"/>
      <c r="C65" s="172"/>
      <c r="D65" s="173">
        <v>18</v>
      </c>
      <c r="E65" s="173">
        <f t="shared" si="13"/>
        <v>21.96</v>
      </c>
      <c r="F65" s="174">
        <v>2</v>
      </c>
      <c r="G65" s="175">
        <f t="shared" si="3"/>
        <v>36</v>
      </c>
      <c r="H65" s="175">
        <f t="shared" si="12"/>
        <v>43.92</v>
      </c>
      <c r="I65" s="172" t="s">
        <v>344</v>
      </c>
    </row>
    <row r="66" spans="1:16" ht="14.5" customHeight="1" x14ac:dyDescent="0.35">
      <c r="A66" s="171" t="s">
        <v>379</v>
      </c>
      <c r="B66" s="172"/>
      <c r="C66" s="172"/>
      <c r="D66" s="173">
        <v>18</v>
      </c>
      <c r="E66" s="173">
        <f t="shared" si="13"/>
        <v>21.96</v>
      </c>
      <c r="F66" s="174"/>
      <c r="G66" s="175">
        <f t="shared" si="3"/>
        <v>0</v>
      </c>
      <c r="H66" s="175">
        <f t="shared" si="12"/>
        <v>0</v>
      </c>
      <c r="I66" s="172" t="s">
        <v>344</v>
      </c>
    </row>
    <row r="67" spans="1:16" ht="14.5" customHeight="1" x14ac:dyDescent="0.35">
      <c r="A67" s="171" t="s">
        <v>347</v>
      </c>
      <c r="B67" s="172" t="s">
        <v>273</v>
      </c>
      <c r="C67" s="172"/>
      <c r="D67" s="173">
        <v>2</v>
      </c>
      <c r="E67" s="173">
        <f t="shared" si="13"/>
        <v>2.44</v>
      </c>
      <c r="F67" s="174">
        <v>4</v>
      </c>
      <c r="G67" s="175">
        <f t="shared" si="3"/>
        <v>8</v>
      </c>
      <c r="H67" s="175">
        <f t="shared" si="12"/>
        <v>9.76</v>
      </c>
      <c r="I67" s="172" t="s">
        <v>344</v>
      </c>
    </row>
    <row r="68" spans="1:16" ht="14.5" customHeight="1" x14ac:dyDescent="0.35">
      <c r="A68" s="171" t="s">
        <v>380</v>
      </c>
      <c r="B68" s="172"/>
      <c r="C68" s="172"/>
      <c r="D68" s="173">
        <v>20</v>
      </c>
      <c r="E68" s="173">
        <f t="shared" si="13"/>
        <v>24.4</v>
      </c>
      <c r="F68" s="174">
        <v>1</v>
      </c>
      <c r="G68" s="175">
        <f t="shared" si="3"/>
        <v>20</v>
      </c>
      <c r="H68" s="175">
        <f t="shared" si="12"/>
        <v>24.4</v>
      </c>
      <c r="I68" s="172" t="s">
        <v>344</v>
      </c>
    </row>
    <row r="69" spans="1:16" ht="14.5" customHeight="1" x14ac:dyDescent="0.35">
      <c r="A69" s="171" t="s">
        <v>381</v>
      </c>
      <c r="B69" s="172"/>
      <c r="C69" s="172"/>
      <c r="D69" s="173">
        <v>12</v>
      </c>
      <c r="E69" s="173">
        <f t="shared" si="13"/>
        <v>14.64</v>
      </c>
      <c r="F69" s="174">
        <v>1</v>
      </c>
      <c r="G69" s="175">
        <f t="shared" si="3"/>
        <v>12</v>
      </c>
      <c r="H69" s="175">
        <f t="shared" si="12"/>
        <v>14.64</v>
      </c>
      <c r="I69" s="172" t="s">
        <v>344</v>
      </c>
    </row>
    <row r="70" spans="1:16" ht="14.5" customHeight="1" x14ac:dyDescent="0.35">
      <c r="A70" s="171" t="s">
        <v>382</v>
      </c>
      <c r="B70" s="172"/>
      <c r="C70" s="172"/>
      <c r="D70" s="173">
        <v>10</v>
      </c>
      <c r="E70" s="173">
        <f t="shared" si="13"/>
        <v>12.2</v>
      </c>
      <c r="F70" s="174"/>
      <c r="G70" s="175">
        <f t="shared" si="3"/>
        <v>0</v>
      </c>
      <c r="H70" s="175">
        <f t="shared" si="12"/>
        <v>0</v>
      </c>
      <c r="I70" s="172" t="s">
        <v>344</v>
      </c>
    </row>
    <row r="71" spans="1:16" ht="14.5" customHeight="1" x14ac:dyDescent="0.35">
      <c r="A71" s="171" t="s">
        <v>383</v>
      </c>
      <c r="B71" s="172"/>
      <c r="C71" s="172"/>
      <c r="D71" s="173">
        <v>12</v>
      </c>
      <c r="E71" s="173">
        <f t="shared" si="13"/>
        <v>14.64</v>
      </c>
      <c r="F71" s="174"/>
      <c r="G71" s="175">
        <f t="shared" ref="G71:G72" si="14">+H71/1.22</f>
        <v>0</v>
      </c>
      <c r="H71" s="175">
        <f t="shared" si="12"/>
        <v>0</v>
      </c>
      <c r="I71" s="172" t="s">
        <v>344</v>
      </c>
    </row>
    <row r="72" spans="1:16" ht="14.5" customHeight="1" x14ac:dyDescent="0.35">
      <c r="A72" s="171" t="s">
        <v>384</v>
      </c>
      <c r="B72" s="172" t="s">
        <v>273</v>
      </c>
      <c r="C72" s="172"/>
      <c r="D72" s="173">
        <v>8.5</v>
      </c>
      <c r="E72" s="173">
        <f t="shared" si="13"/>
        <v>10.37</v>
      </c>
      <c r="F72" s="174"/>
      <c r="G72" s="175">
        <f t="shared" si="14"/>
        <v>0</v>
      </c>
      <c r="H72" s="175">
        <f t="shared" si="12"/>
        <v>0</v>
      </c>
      <c r="I72" s="172" t="s">
        <v>344</v>
      </c>
    </row>
    <row r="73" spans="1:16" ht="14.5" customHeight="1" x14ac:dyDescent="0.35">
      <c r="A73" s="194" t="s">
        <v>385</v>
      </c>
      <c r="B73" s="195"/>
      <c r="C73" s="195"/>
      <c r="D73" s="196">
        <f t="shared" ref="D73:D75" si="15">+E73/1.22</f>
        <v>0.98360655737704916</v>
      </c>
      <c r="E73" s="197">
        <v>1.2</v>
      </c>
      <c r="F73" s="198">
        <v>35</v>
      </c>
      <c r="G73" s="199"/>
      <c r="H73" s="199"/>
      <c r="I73" s="195" t="s">
        <v>386</v>
      </c>
      <c r="P73">
        <f>12*1.3</f>
        <v>15.600000000000001</v>
      </c>
    </row>
    <row r="74" spans="1:16" ht="15" customHeight="1" x14ac:dyDescent="0.35">
      <c r="A74" s="194" t="s">
        <v>387</v>
      </c>
      <c r="B74" s="195" t="s">
        <v>273</v>
      </c>
      <c r="C74" s="195"/>
      <c r="D74" s="196">
        <f t="shared" si="15"/>
        <v>0.98360655737704916</v>
      </c>
      <c r="E74" s="197">
        <v>1.2</v>
      </c>
      <c r="F74" s="198">
        <v>35</v>
      </c>
      <c r="G74" s="199"/>
      <c r="H74" s="199"/>
      <c r="I74" s="195" t="s">
        <v>386</v>
      </c>
      <c r="P74">
        <f>+P73/3.6</f>
        <v>4.3333333333333339</v>
      </c>
    </row>
    <row r="75" spans="1:16" ht="14.5" customHeight="1" x14ac:dyDescent="0.35">
      <c r="A75" s="194" t="s">
        <v>347</v>
      </c>
      <c r="B75" s="195"/>
      <c r="C75" s="195"/>
      <c r="D75" s="196">
        <f t="shared" si="15"/>
        <v>2.459016393442623</v>
      </c>
      <c r="E75" s="197">
        <v>3</v>
      </c>
      <c r="F75" s="198"/>
      <c r="G75" s="199"/>
      <c r="H75" s="199"/>
      <c r="I75" s="195" t="s">
        <v>386</v>
      </c>
    </row>
    <row r="76" spans="1:16" ht="14.5" customHeight="1" x14ac:dyDescent="0.35">
      <c r="A76" s="194"/>
      <c r="B76" s="195"/>
      <c r="C76" s="195"/>
      <c r="D76" s="197"/>
      <c r="E76" s="197"/>
      <c r="F76" s="198"/>
      <c r="G76" s="199"/>
      <c r="H76" s="199"/>
      <c r="I76" s="195"/>
    </row>
    <row r="77" spans="1:16" ht="14.5" customHeight="1" x14ac:dyDescent="0.35">
      <c r="A77" s="140"/>
      <c r="B77" s="140"/>
      <c r="C77" s="140"/>
      <c r="D77" s="140"/>
      <c r="E77" s="140"/>
      <c r="F77" s="140"/>
      <c r="G77" s="140"/>
      <c r="H77" s="141">
        <f>SUM(H3:H74)</f>
        <v>206.89675</v>
      </c>
      <c r="I77" s="142"/>
    </row>
    <row r="78" spans="1:16" ht="14.5" customHeight="1" x14ac:dyDescent="0.35">
      <c r="A78" s="331" t="s">
        <v>388</v>
      </c>
      <c r="B78" s="331"/>
      <c r="C78" s="331"/>
      <c r="D78" s="331"/>
      <c r="E78" s="331"/>
      <c r="F78" s="331"/>
      <c r="G78" s="331"/>
      <c r="H78" s="331"/>
      <c r="I78" s="331"/>
    </row>
    <row r="79" spans="1:16" ht="14.5" customHeight="1" x14ac:dyDescent="0.35">
      <c r="A79" s="171" t="s">
        <v>389</v>
      </c>
      <c r="B79" s="172" t="s">
        <v>243</v>
      </c>
      <c r="C79" s="173"/>
      <c r="D79" s="173">
        <v>50</v>
      </c>
      <c r="E79" s="173">
        <f t="shared" ref="E79:E91" si="16">+D79*1.22</f>
        <v>61</v>
      </c>
      <c r="F79" s="174">
        <v>10</v>
      </c>
      <c r="G79" s="173"/>
      <c r="H79" s="173">
        <f t="shared" ref="H79:H91" si="17">+F79*E79</f>
        <v>610</v>
      </c>
      <c r="I79" s="172" t="s">
        <v>344</v>
      </c>
    </row>
    <row r="80" spans="1:16" ht="14.5" customHeight="1" x14ac:dyDescent="0.35">
      <c r="A80" s="171" t="s">
        <v>390</v>
      </c>
      <c r="B80" s="172"/>
      <c r="C80" s="173"/>
      <c r="D80" s="173">
        <v>50</v>
      </c>
      <c r="E80" s="173">
        <f t="shared" si="16"/>
        <v>61</v>
      </c>
      <c r="F80" s="174"/>
      <c r="G80" s="173"/>
      <c r="H80" s="173">
        <f t="shared" ref="H80:H84" si="18">+F80*E80</f>
        <v>0</v>
      </c>
      <c r="I80" s="172" t="s">
        <v>344</v>
      </c>
    </row>
    <row r="81" spans="1:14" ht="14.5" customHeight="1" x14ac:dyDescent="0.35">
      <c r="A81" s="171" t="s">
        <v>391</v>
      </c>
      <c r="B81" s="172"/>
      <c r="C81" s="173"/>
      <c r="D81" s="173">
        <v>2.98</v>
      </c>
      <c r="E81" s="173">
        <f t="shared" si="16"/>
        <v>3.6355999999999997</v>
      </c>
      <c r="F81" s="174">
        <v>8</v>
      </c>
      <c r="G81" s="173"/>
      <c r="H81" s="173">
        <f t="shared" si="18"/>
        <v>29.084799999999998</v>
      </c>
      <c r="I81" s="172" t="s">
        <v>344</v>
      </c>
    </row>
    <row r="82" spans="1:14" ht="14.5" customHeight="1" x14ac:dyDescent="0.35">
      <c r="A82" s="171" t="s">
        <v>392</v>
      </c>
      <c r="B82" s="172"/>
      <c r="C82" s="173"/>
      <c r="D82" s="173">
        <v>3</v>
      </c>
      <c r="E82" s="173">
        <f t="shared" si="16"/>
        <v>3.66</v>
      </c>
      <c r="F82" s="174"/>
      <c r="G82" s="173"/>
      <c r="H82" s="173">
        <f t="shared" si="18"/>
        <v>0</v>
      </c>
      <c r="I82" s="172" t="s">
        <v>344</v>
      </c>
    </row>
    <row r="83" spans="1:14" ht="14.5" customHeight="1" x14ac:dyDescent="0.35">
      <c r="A83" s="171" t="s">
        <v>393</v>
      </c>
      <c r="B83" s="172"/>
      <c r="C83" s="173"/>
      <c r="D83" s="173">
        <v>2.75</v>
      </c>
      <c r="E83" s="173">
        <f t="shared" si="16"/>
        <v>3.355</v>
      </c>
      <c r="F83" s="174">
        <v>6</v>
      </c>
      <c r="G83" s="173"/>
      <c r="H83" s="173">
        <f t="shared" si="18"/>
        <v>20.13</v>
      </c>
      <c r="I83" s="172" t="s">
        <v>344</v>
      </c>
    </row>
    <row r="84" spans="1:14" ht="14.5" customHeight="1" x14ac:dyDescent="0.35">
      <c r="A84" s="171" t="s">
        <v>394</v>
      </c>
      <c r="B84" s="172"/>
      <c r="C84" s="173"/>
      <c r="D84" s="173">
        <v>2.75</v>
      </c>
      <c r="E84" s="173">
        <f t="shared" si="16"/>
        <v>3.355</v>
      </c>
      <c r="F84" s="174">
        <v>24</v>
      </c>
      <c r="G84" s="173"/>
      <c r="H84" s="173">
        <f t="shared" si="18"/>
        <v>80.52</v>
      </c>
      <c r="I84" s="172" t="s">
        <v>344</v>
      </c>
    </row>
    <row r="85" spans="1:14" ht="14.5" customHeight="1" x14ac:dyDescent="0.35">
      <c r="A85" s="171"/>
      <c r="B85" s="172"/>
      <c r="C85" s="173"/>
      <c r="D85" s="173"/>
      <c r="E85" s="173"/>
      <c r="F85" s="174"/>
      <c r="G85" s="173"/>
      <c r="H85" s="173"/>
      <c r="I85" s="172"/>
    </row>
    <row r="86" spans="1:14" ht="14.5" customHeight="1" x14ac:dyDescent="0.35">
      <c r="A86" s="171"/>
      <c r="B86" s="172"/>
      <c r="C86" s="173"/>
      <c r="D86" s="173"/>
      <c r="E86" s="173"/>
      <c r="F86" s="174"/>
      <c r="G86" s="173"/>
      <c r="H86" s="173"/>
      <c r="I86" s="172"/>
    </row>
    <row r="87" spans="1:14" ht="14.5" customHeight="1" x14ac:dyDescent="0.35">
      <c r="A87" s="171"/>
      <c r="B87" s="172"/>
      <c r="C87" s="173"/>
      <c r="D87" s="173"/>
      <c r="E87" s="173"/>
      <c r="F87" s="174"/>
      <c r="G87" s="173"/>
      <c r="H87" s="173"/>
      <c r="I87" s="172"/>
    </row>
    <row r="88" spans="1:14" ht="14.5" customHeight="1" x14ac:dyDescent="0.35">
      <c r="A88" s="200" t="s">
        <v>395</v>
      </c>
      <c r="B88" s="201"/>
      <c r="C88" s="202"/>
      <c r="D88" s="202">
        <v>52</v>
      </c>
      <c r="E88" s="202">
        <f t="shared" si="16"/>
        <v>63.44</v>
      </c>
      <c r="F88" s="203">
        <v>7</v>
      </c>
      <c r="G88" s="202"/>
      <c r="H88" s="202">
        <f t="shared" si="17"/>
        <v>444.08</v>
      </c>
      <c r="I88" s="201" t="s">
        <v>396</v>
      </c>
      <c r="L88" s="271" t="s">
        <v>397</v>
      </c>
      <c r="M88" s="271" t="s">
        <v>398</v>
      </c>
      <c r="N88" s="271" t="s">
        <v>399</v>
      </c>
    </row>
    <row r="89" spans="1:14" ht="14.5" customHeight="1" x14ac:dyDescent="0.35">
      <c r="A89" s="181" t="s">
        <v>400</v>
      </c>
      <c r="B89" s="181"/>
      <c r="C89" s="181"/>
      <c r="D89" s="181">
        <v>38.54</v>
      </c>
      <c r="E89" s="261">
        <f t="shared" si="16"/>
        <v>47.018799999999999</v>
      </c>
      <c r="F89" s="262">
        <v>6</v>
      </c>
      <c r="G89" s="261"/>
      <c r="H89" s="261">
        <f t="shared" si="17"/>
        <v>282.11279999999999</v>
      </c>
      <c r="I89" s="182" t="s">
        <v>401</v>
      </c>
      <c r="K89" s="176" t="s">
        <v>402</v>
      </c>
      <c r="L89" s="183" t="s">
        <v>95</v>
      </c>
      <c r="M89" s="183" t="s">
        <v>95</v>
      </c>
      <c r="N89" s="183" t="s">
        <v>95</v>
      </c>
    </row>
    <row r="90" spans="1:14" ht="14.5" customHeight="1" x14ac:dyDescent="0.35">
      <c r="A90" s="181" t="s">
        <v>403</v>
      </c>
      <c r="B90" s="181"/>
      <c r="C90" s="181"/>
      <c r="D90" s="204">
        <v>46.4</v>
      </c>
      <c r="E90" s="261">
        <f t="shared" si="16"/>
        <v>56.607999999999997</v>
      </c>
      <c r="F90" s="263"/>
      <c r="G90" s="261"/>
      <c r="H90" s="261">
        <f t="shared" si="17"/>
        <v>0</v>
      </c>
      <c r="I90" s="182" t="s">
        <v>401</v>
      </c>
      <c r="K90" s="177" t="s">
        <v>244</v>
      </c>
      <c r="L90" s="183" t="s">
        <v>95</v>
      </c>
      <c r="M90" s="183" t="s">
        <v>95</v>
      </c>
      <c r="N90" s="183" t="s">
        <v>95</v>
      </c>
    </row>
    <row r="91" spans="1:14" ht="14.5" customHeight="1" x14ac:dyDescent="0.35">
      <c r="A91" s="181" t="s">
        <v>404</v>
      </c>
      <c r="B91" s="181"/>
      <c r="C91" s="181"/>
      <c r="D91" s="181">
        <v>12</v>
      </c>
      <c r="E91" s="261">
        <f t="shared" si="16"/>
        <v>14.64</v>
      </c>
      <c r="F91" s="263"/>
      <c r="G91" s="261"/>
      <c r="H91" s="261">
        <f t="shared" si="17"/>
        <v>0</v>
      </c>
      <c r="I91" s="182" t="s">
        <v>405</v>
      </c>
      <c r="K91" s="182" t="s">
        <v>405</v>
      </c>
      <c r="L91" s="183" t="s">
        <v>95</v>
      </c>
      <c r="M91" s="183" t="s">
        <v>95</v>
      </c>
      <c r="N91" s="183" t="s">
        <v>95</v>
      </c>
    </row>
    <row r="92" spans="1:14" ht="14.5" customHeight="1" x14ac:dyDescent="0.35">
      <c r="A92" s="264" t="s">
        <v>406</v>
      </c>
      <c r="B92" s="136" t="s">
        <v>243</v>
      </c>
      <c r="C92" s="136"/>
      <c r="D92" s="205">
        <v>5.8000000000000003E-2</v>
      </c>
      <c r="E92" s="205">
        <f>+D92*1.22</f>
        <v>7.0760000000000003E-2</v>
      </c>
      <c r="F92" s="136">
        <v>10</v>
      </c>
      <c r="G92" s="136"/>
      <c r="H92" s="138">
        <f>+F92*E92</f>
        <v>0.70760000000000001</v>
      </c>
      <c r="I92" s="136" t="s">
        <v>337</v>
      </c>
      <c r="K92" s="178" t="s">
        <v>344</v>
      </c>
      <c r="L92" s="183" t="s">
        <v>95</v>
      </c>
      <c r="M92" s="183" t="s">
        <v>95</v>
      </c>
      <c r="N92" s="183" t="s">
        <v>95</v>
      </c>
    </row>
    <row r="93" spans="1:14" ht="14.5" customHeight="1" x14ac:dyDescent="0.35">
      <c r="A93" s="264" t="s">
        <v>407</v>
      </c>
      <c r="B93" s="136" t="s">
        <v>243</v>
      </c>
      <c r="C93" s="136"/>
      <c r="D93" s="205">
        <v>7.8E-2</v>
      </c>
      <c r="E93" s="205">
        <f t="shared" ref="E93:E99" si="19">+D93*1.22</f>
        <v>9.5159999999999995E-2</v>
      </c>
      <c r="F93" s="136">
        <v>10</v>
      </c>
      <c r="G93" s="136"/>
      <c r="H93" s="138">
        <f>+F93*E93</f>
        <v>0.9516</v>
      </c>
      <c r="I93" s="136" t="s">
        <v>337</v>
      </c>
      <c r="K93" s="179" t="s">
        <v>337</v>
      </c>
      <c r="L93" s="183" t="s">
        <v>95</v>
      </c>
      <c r="M93" s="183" t="s">
        <v>95</v>
      </c>
      <c r="N93" s="183" t="s">
        <v>95</v>
      </c>
    </row>
    <row r="94" spans="1:14" ht="14.5" customHeight="1" x14ac:dyDescent="0.35">
      <c r="A94" s="264" t="s">
        <v>408</v>
      </c>
      <c r="B94" s="136" t="s">
        <v>243</v>
      </c>
      <c r="C94" s="136"/>
      <c r="D94" s="205">
        <v>7.8E-2</v>
      </c>
      <c r="E94" s="205">
        <f t="shared" si="19"/>
        <v>9.5159999999999995E-2</v>
      </c>
      <c r="F94" s="136">
        <v>10</v>
      </c>
      <c r="G94" s="136"/>
      <c r="H94" s="138">
        <f>+F94*E94</f>
        <v>0.9516</v>
      </c>
      <c r="I94" s="136" t="s">
        <v>337</v>
      </c>
    </row>
    <row r="95" spans="1:14" ht="14.5" customHeight="1" x14ac:dyDescent="0.35">
      <c r="A95" s="264" t="s">
        <v>409</v>
      </c>
      <c r="B95" s="136" t="s">
        <v>243</v>
      </c>
      <c r="C95" s="136"/>
      <c r="D95" s="205">
        <v>0.189</v>
      </c>
      <c r="E95" s="205">
        <f t="shared" si="19"/>
        <v>0.23058000000000001</v>
      </c>
      <c r="F95" s="136">
        <v>10</v>
      </c>
      <c r="G95" s="136"/>
      <c r="H95" s="138">
        <f>+F95*E95</f>
        <v>2.3058000000000001</v>
      </c>
      <c r="I95" s="136" t="s">
        <v>337</v>
      </c>
    </row>
    <row r="96" spans="1:14" ht="14.5" customHeight="1" x14ac:dyDescent="0.35">
      <c r="A96" s="264" t="s">
        <v>410</v>
      </c>
      <c r="B96" s="136"/>
      <c r="C96" s="136"/>
      <c r="D96" s="206">
        <v>0.04</v>
      </c>
      <c r="E96" s="205">
        <f t="shared" si="19"/>
        <v>4.8800000000000003E-2</v>
      </c>
      <c r="F96" s="136">
        <v>20</v>
      </c>
      <c r="G96" s="136"/>
      <c r="H96" s="138">
        <f>+F96*E96</f>
        <v>0.97600000000000009</v>
      </c>
      <c r="I96" s="136" t="s">
        <v>337</v>
      </c>
    </row>
    <row r="97" spans="1:11" ht="14.5" customHeight="1" x14ac:dyDescent="0.35">
      <c r="A97" s="264" t="s">
        <v>411</v>
      </c>
      <c r="B97" s="136" t="s">
        <v>243</v>
      </c>
      <c r="C97" s="136"/>
      <c r="D97" s="205">
        <v>4.8</v>
      </c>
      <c r="E97" s="205">
        <f t="shared" si="19"/>
        <v>5.8559999999999999</v>
      </c>
      <c r="F97" s="136">
        <v>1</v>
      </c>
      <c r="G97" s="136"/>
      <c r="H97" s="138">
        <f t="shared" ref="H97:H99" si="20">+F97*E97</f>
        <v>5.8559999999999999</v>
      </c>
      <c r="I97" s="136" t="s">
        <v>337</v>
      </c>
    </row>
    <row r="98" spans="1:11" ht="14.5" customHeight="1" x14ac:dyDescent="0.35">
      <c r="A98" s="264" t="s">
        <v>412</v>
      </c>
      <c r="B98" s="136" t="s">
        <v>243</v>
      </c>
      <c r="C98" s="136"/>
      <c r="D98" s="205">
        <v>8</v>
      </c>
      <c r="E98" s="205">
        <f t="shared" si="19"/>
        <v>9.76</v>
      </c>
      <c r="F98" s="136"/>
      <c r="G98" s="136"/>
      <c r="H98" s="138">
        <f t="shared" si="20"/>
        <v>0</v>
      </c>
      <c r="I98" s="136" t="s">
        <v>337</v>
      </c>
    </row>
    <row r="99" spans="1:11" ht="14.5" customHeight="1" x14ac:dyDescent="0.35">
      <c r="A99" s="264" t="s">
        <v>413</v>
      </c>
      <c r="B99" s="136" t="s">
        <v>243</v>
      </c>
      <c r="C99" s="136"/>
      <c r="D99" s="205">
        <v>0.88</v>
      </c>
      <c r="E99" s="205">
        <f t="shared" si="19"/>
        <v>1.0735999999999999</v>
      </c>
      <c r="F99" s="136">
        <v>1</v>
      </c>
      <c r="G99" s="136"/>
      <c r="H99" s="138">
        <f t="shared" si="20"/>
        <v>1.0735999999999999</v>
      </c>
      <c r="I99" s="136" t="s">
        <v>337</v>
      </c>
    </row>
    <row r="100" spans="1:11" ht="14.5" customHeight="1" x14ac:dyDescent="0.35">
      <c r="A100" s="138"/>
      <c r="B100" s="136"/>
      <c r="C100" s="136"/>
      <c r="D100" s="137"/>
      <c r="E100" s="147"/>
      <c r="F100" s="136"/>
      <c r="G100" s="136"/>
      <c r="H100" s="138"/>
      <c r="I100" s="136"/>
    </row>
    <row r="101" spans="1:11" ht="14.5" customHeight="1" x14ac:dyDescent="0.35">
      <c r="A101" s="145"/>
      <c r="B101" s="145"/>
      <c r="C101" s="145"/>
      <c r="D101" s="145"/>
      <c r="E101" s="145"/>
      <c r="F101" s="145"/>
      <c r="G101" s="145"/>
      <c r="H101" s="148">
        <f>SUM(H79:H95)</f>
        <v>1470.8442000000002</v>
      </c>
      <c r="I101" s="149"/>
      <c r="J101">
        <f>+H101/12</f>
        <v>122.57035000000002</v>
      </c>
      <c r="K101">
        <f>+J101/1.22</f>
        <v>100.46750000000002</v>
      </c>
    </row>
    <row r="102" spans="1:11" ht="14.5" customHeight="1" x14ac:dyDescent="0.35"/>
    <row r="103" spans="1:11" ht="14.5" customHeight="1" x14ac:dyDescent="0.35">
      <c r="A103" s="331" t="s">
        <v>414</v>
      </c>
      <c r="B103" s="331"/>
      <c r="C103" s="331"/>
      <c r="D103" s="331"/>
      <c r="E103" s="331"/>
      <c r="F103" s="331"/>
      <c r="G103" s="331"/>
      <c r="H103" s="331"/>
      <c r="I103" s="331"/>
    </row>
    <row r="104" spans="1:11" x14ac:dyDescent="0.35">
      <c r="A104" s="150" t="s">
        <v>415</v>
      </c>
      <c r="B104" s="151" t="s">
        <v>243</v>
      </c>
      <c r="C104" s="151"/>
      <c r="D104" s="150">
        <v>794.27</v>
      </c>
      <c r="E104" s="152">
        <f>+D104*1.22</f>
        <v>969.00939999999991</v>
      </c>
      <c r="F104" s="153"/>
      <c r="G104" s="153"/>
      <c r="H104" s="152">
        <f>+F104*E104</f>
        <v>0</v>
      </c>
      <c r="I104" s="151" t="s">
        <v>402</v>
      </c>
    </row>
    <row r="105" spans="1:11" x14ac:dyDescent="0.35">
      <c r="A105" s="150" t="s">
        <v>416</v>
      </c>
      <c r="B105" s="151" t="s">
        <v>243</v>
      </c>
      <c r="C105" s="151"/>
      <c r="D105" s="150">
        <v>59.22</v>
      </c>
      <c r="E105" s="152">
        <f t="shared" ref="E105:E106" si="21">+D105*1.22</f>
        <v>72.248400000000004</v>
      </c>
      <c r="F105" s="153"/>
      <c r="G105" s="153"/>
      <c r="H105" s="152">
        <f>+F105*E105</f>
        <v>0</v>
      </c>
      <c r="I105" s="151" t="s">
        <v>402</v>
      </c>
    </row>
    <row r="106" spans="1:11" x14ac:dyDescent="0.35">
      <c r="A106" s="150" t="s">
        <v>417</v>
      </c>
      <c r="B106" s="151" t="s">
        <v>243</v>
      </c>
      <c r="C106" s="151"/>
      <c r="D106" s="150">
        <v>118.44</v>
      </c>
      <c r="E106" s="152">
        <f t="shared" si="21"/>
        <v>144.49680000000001</v>
      </c>
      <c r="F106" s="153"/>
      <c r="G106" s="153"/>
      <c r="H106" s="152">
        <f>+F106*E106</f>
        <v>0</v>
      </c>
      <c r="I106" s="151" t="s">
        <v>402</v>
      </c>
    </row>
    <row r="107" spans="1:11" x14ac:dyDescent="0.35">
      <c r="A107" s="194" t="s">
        <v>418</v>
      </c>
      <c r="B107" s="195" t="s">
        <v>243</v>
      </c>
      <c r="C107" s="195"/>
      <c r="D107" s="197">
        <f>+E107/1.22</f>
        <v>409.8360655737705</v>
      </c>
      <c r="E107" s="196">
        <v>500</v>
      </c>
      <c r="F107" s="207"/>
      <c r="G107" s="207"/>
      <c r="H107" s="197">
        <f t="shared" ref="H107:H121" si="22">+F107*E107</f>
        <v>0</v>
      </c>
      <c r="I107" s="195" t="s">
        <v>386</v>
      </c>
    </row>
    <row r="108" spans="1:11" x14ac:dyDescent="0.35">
      <c r="A108" s="194" t="s">
        <v>419</v>
      </c>
      <c r="B108" s="195" t="s">
        <v>243</v>
      </c>
      <c r="C108" s="195"/>
      <c r="D108" s="197">
        <f>+E108/1.22</f>
        <v>836.06557377049182</v>
      </c>
      <c r="E108" s="196">
        <v>1020</v>
      </c>
      <c r="F108" s="207"/>
      <c r="G108" s="207"/>
      <c r="H108" s="197">
        <f t="shared" si="22"/>
        <v>0</v>
      </c>
      <c r="I108" s="195" t="s">
        <v>386</v>
      </c>
    </row>
    <row r="109" spans="1:11" x14ac:dyDescent="0.35">
      <c r="A109" s="194" t="s">
        <v>420</v>
      </c>
      <c r="B109" s="195" t="s">
        <v>243</v>
      </c>
      <c r="C109" s="195"/>
      <c r="D109" s="196">
        <f t="shared" ref="D109:D126" si="23">+E109/1.22</f>
        <v>1114.7540983606557</v>
      </c>
      <c r="E109" s="196">
        <v>1360</v>
      </c>
      <c r="F109" s="207"/>
      <c r="G109" s="207"/>
      <c r="H109" s="197">
        <f t="shared" si="22"/>
        <v>0</v>
      </c>
      <c r="I109" s="195" t="s">
        <v>386</v>
      </c>
    </row>
    <row r="110" spans="1:11" x14ac:dyDescent="0.35">
      <c r="A110" s="194" t="s">
        <v>416</v>
      </c>
      <c r="B110" s="195" t="s">
        <v>243</v>
      </c>
      <c r="C110" s="195"/>
      <c r="D110" s="196">
        <f>+E110/1.22</f>
        <v>57.377049180327873</v>
      </c>
      <c r="E110" s="197">
        <v>70</v>
      </c>
      <c r="F110" s="207">
        <v>1</v>
      </c>
      <c r="G110" s="207"/>
      <c r="H110" s="197">
        <f t="shared" si="22"/>
        <v>70</v>
      </c>
      <c r="I110" s="195" t="s">
        <v>386</v>
      </c>
    </row>
    <row r="111" spans="1:11" x14ac:dyDescent="0.35">
      <c r="A111" s="194" t="s">
        <v>417</v>
      </c>
      <c r="B111" s="195" t="s">
        <v>243</v>
      </c>
      <c r="C111" s="195"/>
      <c r="D111" s="196">
        <f t="shared" si="23"/>
        <v>98.360655737704917</v>
      </c>
      <c r="E111" s="197">
        <v>120</v>
      </c>
      <c r="F111" s="207">
        <v>1</v>
      </c>
      <c r="G111" s="207"/>
      <c r="H111" s="197">
        <f t="shared" si="22"/>
        <v>120</v>
      </c>
      <c r="I111" s="195" t="s">
        <v>386</v>
      </c>
    </row>
    <row r="112" spans="1:11" x14ac:dyDescent="0.35">
      <c r="A112" s="194" t="s">
        <v>421</v>
      </c>
      <c r="B112" s="195" t="s">
        <v>243</v>
      </c>
      <c r="C112" s="195"/>
      <c r="D112" s="196">
        <f t="shared" si="23"/>
        <v>1737.704918032787</v>
      </c>
      <c r="E112" s="196">
        <v>2120</v>
      </c>
      <c r="F112" s="207"/>
      <c r="G112" s="207"/>
      <c r="H112" s="197">
        <f t="shared" si="22"/>
        <v>0</v>
      </c>
      <c r="I112" s="195" t="s">
        <v>386</v>
      </c>
    </row>
    <row r="113" spans="1:9" x14ac:dyDescent="0.35">
      <c r="A113" s="194" t="s">
        <v>422</v>
      </c>
      <c r="B113" s="195" t="s">
        <v>243</v>
      </c>
      <c r="C113" s="195"/>
      <c r="D113" s="196">
        <f t="shared" si="23"/>
        <v>1967.2131147540983</v>
      </c>
      <c r="E113" s="196">
        <v>2400</v>
      </c>
      <c r="F113" s="207"/>
      <c r="G113" s="207"/>
      <c r="H113" s="197">
        <f t="shared" si="22"/>
        <v>0</v>
      </c>
      <c r="I113" s="195" t="s">
        <v>386</v>
      </c>
    </row>
    <row r="114" spans="1:9" x14ac:dyDescent="0.35">
      <c r="A114" s="194" t="s">
        <v>423</v>
      </c>
      <c r="B114" s="195" t="s">
        <v>243</v>
      </c>
      <c r="C114" s="195"/>
      <c r="D114" s="196">
        <f t="shared" si="23"/>
        <v>2147.5409836065573</v>
      </c>
      <c r="E114" s="196">
        <v>2620</v>
      </c>
      <c r="F114" s="207"/>
      <c r="G114" s="207"/>
      <c r="H114" s="197">
        <f t="shared" si="22"/>
        <v>0</v>
      </c>
      <c r="I114" s="195" t="s">
        <v>386</v>
      </c>
    </row>
    <row r="115" spans="1:9" x14ac:dyDescent="0.35">
      <c r="A115" s="194" t="s">
        <v>424</v>
      </c>
      <c r="B115" s="195" t="s">
        <v>243</v>
      </c>
      <c r="C115" s="195"/>
      <c r="D115" s="196">
        <f t="shared" si="23"/>
        <v>2663.9344262295081</v>
      </c>
      <c r="E115" s="196">
        <v>3250</v>
      </c>
      <c r="F115" s="207"/>
      <c r="G115" s="207"/>
      <c r="H115" s="197">
        <f t="shared" si="22"/>
        <v>0</v>
      </c>
      <c r="I115" s="195" t="s">
        <v>386</v>
      </c>
    </row>
    <row r="116" spans="1:9" x14ac:dyDescent="0.35">
      <c r="A116" s="194" t="s">
        <v>425</v>
      </c>
      <c r="B116" s="195" t="s">
        <v>243</v>
      </c>
      <c r="C116" s="195"/>
      <c r="D116" s="196">
        <f t="shared" si="23"/>
        <v>1295.0819672131147</v>
      </c>
      <c r="E116" s="196">
        <v>1580</v>
      </c>
      <c r="F116" s="207"/>
      <c r="G116" s="207"/>
      <c r="H116" s="197">
        <f t="shared" si="22"/>
        <v>0</v>
      </c>
      <c r="I116" s="195" t="s">
        <v>386</v>
      </c>
    </row>
    <row r="117" spans="1:9" x14ac:dyDescent="0.35">
      <c r="A117" s="194" t="s">
        <v>426</v>
      </c>
      <c r="B117" s="195" t="s">
        <v>243</v>
      </c>
      <c r="C117" s="195"/>
      <c r="D117" s="196">
        <f t="shared" si="23"/>
        <v>1459.016393442623</v>
      </c>
      <c r="E117" s="196">
        <v>1780</v>
      </c>
      <c r="F117" s="207"/>
      <c r="G117" s="207"/>
      <c r="H117" s="197">
        <f t="shared" si="22"/>
        <v>0</v>
      </c>
      <c r="I117" s="195" t="s">
        <v>386</v>
      </c>
    </row>
    <row r="118" spans="1:9" x14ac:dyDescent="0.35">
      <c r="A118" s="194" t="s">
        <v>427</v>
      </c>
      <c r="B118" s="195" t="s">
        <v>243</v>
      </c>
      <c r="C118" s="195"/>
      <c r="D118" s="196">
        <f t="shared" si="23"/>
        <v>1934.4262295081967</v>
      </c>
      <c r="E118" s="196">
        <v>2360</v>
      </c>
      <c r="F118" s="207"/>
      <c r="G118" s="207"/>
      <c r="H118" s="197">
        <f t="shared" si="22"/>
        <v>0</v>
      </c>
      <c r="I118" s="195" t="s">
        <v>386</v>
      </c>
    </row>
    <row r="119" spans="1:9" x14ac:dyDescent="0.35">
      <c r="A119" s="194" t="s">
        <v>428</v>
      </c>
      <c r="B119" s="195" t="s">
        <v>243</v>
      </c>
      <c r="C119" s="195"/>
      <c r="D119" s="196">
        <f t="shared" si="23"/>
        <v>2172.1311475409839</v>
      </c>
      <c r="E119" s="196">
        <v>2650</v>
      </c>
      <c r="F119" s="207"/>
      <c r="G119" s="207"/>
      <c r="H119" s="197">
        <f t="shared" si="22"/>
        <v>0</v>
      </c>
      <c r="I119" s="195" t="s">
        <v>386</v>
      </c>
    </row>
    <row r="120" spans="1:9" x14ac:dyDescent="0.35">
      <c r="A120" s="194" t="s">
        <v>429</v>
      </c>
      <c r="B120" s="195" t="s">
        <v>243</v>
      </c>
      <c r="C120" s="195"/>
      <c r="D120" s="196">
        <f t="shared" si="23"/>
        <v>3975.4098360655739</v>
      </c>
      <c r="E120" s="196">
        <v>4850</v>
      </c>
      <c r="F120" s="207"/>
      <c r="G120" s="207"/>
      <c r="H120" s="197">
        <f t="shared" si="22"/>
        <v>0</v>
      </c>
      <c r="I120" s="195" t="s">
        <v>386</v>
      </c>
    </row>
    <row r="121" spans="1:9" x14ac:dyDescent="0.35">
      <c r="A121" s="194" t="s">
        <v>424</v>
      </c>
      <c r="B121" s="195" t="s">
        <v>243</v>
      </c>
      <c r="C121" s="195"/>
      <c r="D121" s="196">
        <f t="shared" si="23"/>
        <v>4303.2786885245905</v>
      </c>
      <c r="E121" s="196">
        <v>5250</v>
      </c>
      <c r="F121" s="207"/>
      <c r="G121" s="207"/>
      <c r="H121" s="197">
        <f t="shared" si="22"/>
        <v>0</v>
      </c>
      <c r="I121" s="195" t="s">
        <v>386</v>
      </c>
    </row>
    <row r="122" spans="1:9" x14ac:dyDescent="0.35">
      <c r="A122" s="194" t="s">
        <v>430</v>
      </c>
      <c r="B122" s="195" t="s">
        <v>243</v>
      </c>
      <c r="C122" s="195"/>
      <c r="D122" s="196">
        <f t="shared" si="23"/>
        <v>65.573770491803273</v>
      </c>
      <c r="E122" s="197">
        <v>80</v>
      </c>
      <c r="F122" s="207"/>
      <c r="G122" s="207"/>
      <c r="H122" s="197">
        <f>+F122*E122</f>
        <v>0</v>
      </c>
      <c r="I122" s="195" t="s">
        <v>386</v>
      </c>
    </row>
    <row r="123" spans="1:9" x14ac:dyDescent="0.35">
      <c r="A123" s="194" t="s">
        <v>431</v>
      </c>
      <c r="B123" s="195" t="s">
        <v>243</v>
      </c>
      <c r="C123" s="195"/>
      <c r="D123" s="196">
        <f t="shared" si="23"/>
        <v>147.54098360655738</v>
      </c>
      <c r="E123" s="197">
        <v>180</v>
      </c>
      <c r="F123" s="207"/>
      <c r="G123" s="207"/>
      <c r="H123" s="197">
        <f>+F123*E123</f>
        <v>0</v>
      </c>
      <c r="I123" s="195" t="s">
        <v>386</v>
      </c>
    </row>
    <row r="124" spans="1:9" x14ac:dyDescent="0.35">
      <c r="A124" s="194" t="s">
        <v>432</v>
      </c>
      <c r="B124" s="195"/>
      <c r="C124" s="195"/>
      <c r="D124" s="196">
        <f t="shared" si="23"/>
        <v>704.91803278688531</v>
      </c>
      <c r="E124" s="197">
        <v>860</v>
      </c>
      <c r="F124" s="207"/>
      <c r="G124" s="207"/>
      <c r="H124" s="197">
        <f t="shared" ref="H124:H126" si="24">+F124*E124</f>
        <v>0</v>
      </c>
      <c r="I124" s="195" t="s">
        <v>386</v>
      </c>
    </row>
    <row r="125" spans="1:9" x14ac:dyDescent="0.35">
      <c r="A125" s="194" t="s">
        <v>415</v>
      </c>
      <c r="B125" s="195" t="s">
        <v>243</v>
      </c>
      <c r="C125" s="195"/>
      <c r="D125" s="196">
        <f t="shared" si="23"/>
        <v>860.65573770491801</v>
      </c>
      <c r="E125" s="197">
        <v>1050</v>
      </c>
      <c r="F125" s="207">
        <v>1</v>
      </c>
      <c r="G125" s="207"/>
      <c r="H125" s="197">
        <f t="shared" si="24"/>
        <v>1050</v>
      </c>
      <c r="I125" s="195" t="s">
        <v>386</v>
      </c>
    </row>
    <row r="126" spans="1:9" x14ac:dyDescent="0.35">
      <c r="A126" s="194" t="s">
        <v>433</v>
      </c>
      <c r="B126" s="195" t="s">
        <v>243</v>
      </c>
      <c r="C126" s="195"/>
      <c r="D126" s="196">
        <f t="shared" si="23"/>
        <v>1245.9016393442623</v>
      </c>
      <c r="E126" s="197">
        <v>1520</v>
      </c>
      <c r="F126" s="207"/>
      <c r="G126" s="207"/>
      <c r="H126" s="197">
        <f t="shared" si="24"/>
        <v>0</v>
      </c>
      <c r="I126" s="195" t="s">
        <v>386</v>
      </c>
    </row>
    <row r="127" spans="1:9" x14ac:dyDescent="0.35">
      <c r="A127" s="194"/>
      <c r="B127" s="195"/>
      <c r="C127" s="195"/>
      <c r="D127" s="196"/>
      <c r="E127" s="197"/>
      <c r="F127" s="207"/>
      <c r="G127" s="207"/>
      <c r="H127" s="197"/>
      <c r="I127" s="195"/>
    </row>
    <row r="128" spans="1:9" x14ac:dyDescent="0.35">
      <c r="A128" s="194"/>
      <c r="B128" s="195"/>
      <c r="C128" s="195"/>
      <c r="D128" s="196"/>
      <c r="E128" s="197"/>
      <c r="F128" s="207"/>
      <c r="G128" s="207"/>
      <c r="H128" s="197"/>
      <c r="I128" s="195"/>
    </row>
    <row r="129" spans="1:10" x14ac:dyDescent="0.35">
      <c r="A129" s="194"/>
      <c r="B129" s="195" t="s">
        <v>243</v>
      </c>
      <c r="C129" s="195"/>
      <c r="D129" s="196"/>
      <c r="E129" s="197"/>
      <c r="F129" s="207"/>
      <c r="G129" s="207"/>
      <c r="H129" s="197"/>
      <c r="I129" s="195"/>
    </row>
    <row r="130" spans="1:10" x14ac:dyDescent="0.35">
      <c r="A130" s="194"/>
      <c r="B130" s="195" t="s">
        <v>243</v>
      </c>
      <c r="C130" s="195"/>
      <c r="D130" s="196"/>
      <c r="E130" s="197"/>
      <c r="F130" s="207"/>
      <c r="G130" s="207"/>
      <c r="H130" s="197"/>
      <c r="I130" s="195"/>
    </row>
    <row r="131" spans="1:10" x14ac:dyDescent="0.35">
      <c r="A131" s="194"/>
      <c r="B131" s="195"/>
      <c r="C131" s="195"/>
      <c r="D131" s="196"/>
      <c r="E131" s="197"/>
      <c r="F131" s="207"/>
      <c r="G131" s="207"/>
      <c r="H131" s="197"/>
      <c r="I131" s="195"/>
    </row>
    <row r="132" spans="1:10" x14ac:dyDescent="0.35">
      <c r="A132" s="150"/>
      <c r="B132" s="151"/>
      <c r="C132" s="151"/>
      <c r="D132" s="150"/>
      <c r="E132" s="152"/>
      <c r="F132" s="153"/>
      <c r="G132" s="153"/>
      <c r="H132" s="152"/>
      <c r="I132" s="151"/>
    </row>
    <row r="133" spans="1:10" x14ac:dyDescent="0.35">
      <c r="A133" s="150"/>
      <c r="B133" s="151"/>
      <c r="C133" s="151"/>
      <c r="D133" s="150"/>
      <c r="E133" s="152"/>
      <c r="F133" s="153"/>
      <c r="G133" s="153"/>
      <c r="H133" s="152"/>
      <c r="I133" s="151"/>
    </row>
    <row r="134" spans="1:10" x14ac:dyDescent="0.35">
      <c r="A134" s="150"/>
      <c r="B134" s="151"/>
      <c r="C134" s="151"/>
      <c r="D134" s="150"/>
      <c r="E134" s="152"/>
      <c r="F134" s="153"/>
      <c r="G134" s="153"/>
      <c r="H134" s="152"/>
      <c r="I134" s="151"/>
    </row>
    <row r="135" spans="1:10" x14ac:dyDescent="0.35">
      <c r="A135" s="150"/>
      <c r="B135" s="151"/>
      <c r="C135" s="151"/>
      <c r="D135" s="150"/>
      <c r="E135" s="152"/>
      <c r="F135" s="153"/>
      <c r="G135" s="153"/>
      <c r="H135" s="152"/>
      <c r="I135" s="151"/>
    </row>
    <row r="136" spans="1:10" x14ac:dyDescent="0.35">
      <c r="A136" s="208" t="s">
        <v>434</v>
      </c>
      <c r="B136" s="209" t="s">
        <v>243</v>
      </c>
      <c r="C136" s="209"/>
      <c r="D136" s="208">
        <v>105</v>
      </c>
      <c r="E136" s="210">
        <f t="shared" ref="E136" si="25">+D136*1.22</f>
        <v>128.1</v>
      </c>
      <c r="F136" s="211">
        <v>0</v>
      </c>
      <c r="G136" s="211"/>
      <c r="H136" s="212">
        <f>+F136*E136</f>
        <v>0</v>
      </c>
      <c r="I136" s="208" t="s">
        <v>344</v>
      </c>
    </row>
    <row r="137" spans="1:10" x14ac:dyDescent="0.35">
      <c r="A137" s="143"/>
      <c r="B137" s="144"/>
      <c r="C137" s="144"/>
      <c r="D137" s="145"/>
      <c r="E137" s="145"/>
      <c r="F137" s="132"/>
      <c r="G137" s="132"/>
      <c r="H137" s="148">
        <f>SUM(H104:H136)</f>
        <v>1240</v>
      </c>
      <c r="I137" s="154"/>
    </row>
    <row r="138" spans="1:10" x14ac:dyDescent="0.35">
      <c r="A138" s="145"/>
      <c r="B138" s="144"/>
      <c r="C138" s="144"/>
      <c r="D138" s="145"/>
      <c r="E138" s="145"/>
      <c r="F138" s="132"/>
      <c r="G138" s="132"/>
      <c r="H138" s="155"/>
      <c r="I138" s="154"/>
      <c r="J138" s="123"/>
    </row>
    <row r="139" spans="1:10" ht="14.5" customHeight="1" x14ac:dyDescent="0.35">
      <c r="B139"/>
      <c r="C139"/>
      <c r="H139" s="123"/>
      <c r="I139" s="123"/>
    </row>
    <row r="140" spans="1:10" x14ac:dyDescent="0.35">
      <c r="B140"/>
      <c r="C140"/>
      <c r="H140" s="148">
        <f>+H137+H101+H77</f>
        <v>2917.7409500000003</v>
      </c>
      <c r="I140" s="123"/>
    </row>
    <row r="141" spans="1:10" x14ac:dyDescent="0.35">
      <c r="B141"/>
      <c r="C141"/>
      <c r="I141"/>
    </row>
    <row r="142" spans="1:10" x14ac:dyDescent="0.35">
      <c r="B142"/>
      <c r="C142"/>
      <c r="I142"/>
    </row>
    <row r="143" spans="1:10" x14ac:dyDescent="0.35">
      <c r="B143"/>
      <c r="C143"/>
      <c r="I143"/>
    </row>
    <row r="144" spans="1:10" x14ac:dyDescent="0.35">
      <c r="B144"/>
      <c r="C144"/>
      <c r="I144"/>
    </row>
    <row r="145" customFormat="1" ht="14.5" customHeight="1" x14ac:dyDescent="0.35"/>
    <row r="146" customFormat="1" ht="14.5" customHeight="1" x14ac:dyDescent="0.35"/>
    <row r="147" customFormat="1" ht="14.5" customHeight="1" x14ac:dyDescent="0.35"/>
    <row r="148" customFormat="1" ht="14.5" customHeight="1" x14ac:dyDescent="0.35"/>
  </sheetData>
  <mergeCells count="2">
    <mergeCell ref="A78:I78"/>
    <mergeCell ref="A103:I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D31C-12CD-4922-ACD9-244AE1FA5135}">
  <sheetPr codeName="Hoja9"/>
  <dimension ref="A1:G11"/>
  <sheetViews>
    <sheetView workbookViewId="0">
      <selection activeCell="J4" sqref="J4"/>
    </sheetView>
  </sheetViews>
  <sheetFormatPr baseColWidth="10" defaultColWidth="11.453125" defaultRowHeight="14.5" x14ac:dyDescent="0.35"/>
  <cols>
    <col min="1" max="1" width="14.453125" customWidth="1"/>
    <col min="2" max="2" width="12.453125" bestFit="1" customWidth="1"/>
    <col min="3" max="3" width="13.453125" bestFit="1" customWidth="1"/>
  </cols>
  <sheetData>
    <row r="1" spans="1:7" x14ac:dyDescent="0.35">
      <c r="A1" t="s">
        <v>435</v>
      </c>
      <c r="B1" s="184">
        <v>0</v>
      </c>
      <c r="D1" s="184">
        <v>0</v>
      </c>
      <c r="F1" s="184">
        <v>0.05</v>
      </c>
    </row>
    <row r="2" spans="1:7" x14ac:dyDescent="0.35">
      <c r="A2" t="s">
        <v>302</v>
      </c>
      <c r="B2" s="116">
        <f>+CALCULADORA!J13</f>
        <v>12846.142298700001</v>
      </c>
    </row>
    <row r="3" spans="1:7" x14ac:dyDescent="0.35">
      <c r="A3" t="s">
        <v>436</v>
      </c>
      <c r="B3">
        <v>24</v>
      </c>
      <c r="D3">
        <v>36</v>
      </c>
      <c r="F3">
        <v>60</v>
      </c>
    </row>
    <row r="4" spans="1:7" x14ac:dyDescent="0.35">
      <c r="A4" t="s">
        <v>437</v>
      </c>
      <c r="B4">
        <v>6.33</v>
      </c>
    </row>
    <row r="5" spans="1:7" x14ac:dyDescent="0.35">
      <c r="A5" t="s">
        <v>438</v>
      </c>
      <c r="B5">
        <v>40</v>
      </c>
    </row>
    <row r="6" spans="1:7" x14ac:dyDescent="0.35">
      <c r="A6" t="s">
        <v>439</v>
      </c>
      <c r="B6" s="49">
        <v>2.5000000000000001E-2</v>
      </c>
      <c r="D6" s="49">
        <v>4.4999999999999998E-2</v>
      </c>
      <c r="F6" s="49">
        <v>1.5219999999999999E-2</v>
      </c>
    </row>
    <row r="7" spans="1:7" x14ac:dyDescent="0.35">
      <c r="A7" t="s">
        <v>440</v>
      </c>
      <c r="B7" s="185">
        <f>+$B$2*$B$5/$B$4</f>
        <v>81176.254652132702</v>
      </c>
      <c r="C7" s="185">
        <f>+B7*$B$4</f>
        <v>513845.69194799999</v>
      </c>
      <c r="D7" s="185">
        <f>+$B$2*$B$5/$B$4</f>
        <v>81176.254652132702</v>
      </c>
      <c r="E7" s="185">
        <f>+D7*$B$4</f>
        <v>513845.69194799999</v>
      </c>
      <c r="F7" s="185">
        <f>+$B$2*$B$5/$B$4</f>
        <v>81176.254652132702</v>
      </c>
      <c r="G7" s="185">
        <f>+F7*$B$4</f>
        <v>513845.69194799999</v>
      </c>
    </row>
    <row r="8" spans="1:7" x14ac:dyDescent="0.35">
      <c r="A8" t="s">
        <v>441</v>
      </c>
      <c r="B8" s="185">
        <f>+B7+B9</f>
        <v>83205.661018436018</v>
      </c>
      <c r="C8" s="185">
        <f>+B8*$B$4</f>
        <v>526691.83424670005</v>
      </c>
      <c r="D8" s="185">
        <f>+D7+D9</f>
        <v>84829.186111478673</v>
      </c>
      <c r="E8" s="185">
        <f>+D8*$B$4</f>
        <v>536968.74808566005</v>
      </c>
      <c r="F8" s="185">
        <f>+F7+F9</f>
        <v>82411.757247938163</v>
      </c>
      <c r="G8" s="185">
        <f>+F8*$B$4</f>
        <v>521666.42337944859</v>
      </c>
    </row>
    <row r="9" spans="1:7" x14ac:dyDescent="0.35">
      <c r="A9" t="s">
        <v>442</v>
      </c>
      <c r="B9" s="185">
        <f>+B7*B6</f>
        <v>2029.4063663033176</v>
      </c>
      <c r="C9" s="185">
        <f>+B9*B4</f>
        <v>12846.142298700001</v>
      </c>
      <c r="D9" s="185">
        <f>+D7*D6</f>
        <v>3652.9314593459717</v>
      </c>
      <c r="E9" s="185">
        <f>+D9*D4</f>
        <v>0</v>
      </c>
      <c r="F9" s="185">
        <f>+F7*F6</f>
        <v>1235.5025958054596</v>
      </c>
      <c r="G9" s="185">
        <f>+F9*F4</f>
        <v>0</v>
      </c>
    </row>
    <row r="10" spans="1:7" x14ac:dyDescent="0.35">
      <c r="A10" t="s">
        <v>443</v>
      </c>
      <c r="B10" s="185">
        <f>-PMT(B1/12,B3,B8)</f>
        <v>3466.9025424348342</v>
      </c>
      <c r="C10" s="185">
        <f>+B10*$B$4</f>
        <v>21945.493093612502</v>
      </c>
      <c r="D10" s="185">
        <f>-PMT(D1/12,D3,D8)</f>
        <v>2356.3662808744075</v>
      </c>
      <c r="E10" s="185">
        <f>+D10*$B$4</f>
        <v>14915.798557934999</v>
      </c>
      <c r="F10" s="185">
        <f>-PMT(F1/12,F3,F8)</f>
        <v>1555.2115260393525</v>
      </c>
      <c r="G10" s="185">
        <f>+F10*$B$4</f>
        <v>9844.4889598291011</v>
      </c>
    </row>
    <row r="11" spans="1:7" x14ac:dyDescent="0.35">
      <c r="A11" t="s">
        <v>444</v>
      </c>
      <c r="B11" s="185">
        <f>+B10*1.023</f>
        <v>3546.6413009108351</v>
      </c>
      <c r="C11" s="186">
        <f>+B11*$B$4</f>
        <v>22450.239434765586</v>
      </c>
      <c r="D11" s="185">
        <f>+D10*1.036</f>
        <v>2441.195466985886</v>
      </c>
      <c r="E11" s="186">
        <f>+D11*$B$4</f>
        <v>15452.767306020658</v>
      </c>
      <c r="F11" s="185">
        <f>+F10*1.071</f>
        <v>1665.6315443881465</v>
      </c>
      <c r="G11" s="186">
        <f>+F11*$B$4</f>
        <v>10543.447675976968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8330-A9A3-44EC-B80F-426C41D99013}">
  <sheetPr codeName="Hoja10"/>
  <dimension ref="A1:J32"/>
  <sheetViews>
    <sheetView zoomScale="138" zoomScaleNormal="138" workbookViewId="0">
      <selection activeCell="I38" sqref="I38"/>
    </sheetView>
  </sheetViews>
  <sheetFormatPr baseColWidth="10" defaultColWidth="11.453125" defaultRowHeight="15" customHeight="1" x14ac:dyDescent="0.35"/>
  <cols>
    <col min="1" max="1" width="31.7265625" bestFit="1" customWidth="1"/>
    <col min="2" max="2" width="9.1796875"/>
    <col min="3" max="3" width="10.453125" customWidth="1"/>
    <col min="4" max="4" width="9.1796875"/>
    <col min="5" max="5" width="20.81640625" bestFit="1" customWidth="1"/>
    <col min="6" max="7" width="9.1796875"/>
  </cols>
  <sheetData>
    <row r="1" spans="1:9" ht="14.5" x14ac:dyDescent="0.35">
      <c r="A1" s="50"/>
      <c r="B1" s="156" t="s">
        <v>445</v>
      </c>
      <c r="C1" s="157" t="s">
        <v>446</v>
      </c>
      <c r="E1" s="333" t="s">
        <v>241</v>
      </c>
      <c r="F1" s="333"/>
    </row>
    <row r="2" spans="1:9" ht="14.5" x14ac:dyDescent="0.35">
      <c r="A2" t="s">
        <v>447</v>
      </c>
      <c r="B2" s="158">
        <v>3721</v>
      </c>
      <c r="C2" s="159"/>
      <c r="E2" s="160"/>
      <c r="F2" s="161"/>
    </row>
    <row r="3" spans="1:9" ht="14.5" x14ac:dyDescent="0.35">
      <c r="A3" s="50" t="s">
        <v>84</v>
      </c>
      <c r="B3" s="158"/>
      <c r="C3" s="159">
        <f>+C21</f>
        <v>129.32</v>
      </c>
      <c r="E3" s="160"/>
      <c r="F3" s="161"/>
    </row>
    <row r="4" spans="1:9" ht="14.5" x14ac:dyDescent="0.35">
      <c r="A4" s="50" t="s">
        <v>448</v>
      </c>
      <c r="B4" s="158"/>
      <c r="C4" s="159">
        <f>+F32/J20</f>
        <v>187.80487804878049</v>
      </c>
      <c r="E4" s="160" t="s">
        <v>449</v>
      </c>
      <c r="F4" s="161">
        <v>10000</v>
      </c>
    </row>
    <row r="5" spans="1:9" ht="14.5" customHeight="1" x14ac:dyDescent="0.35">
      <c r="A5" s="50" t="s">
        <v>450</v>
      </c>
      <c r="B5" s="158"/>
      <c r="C5" s="159">
        <f>+F10/J20</f>
        <v>731.70731707317077</v>
      </c>
      <c r="E5" s="160" t="s">
        <v>451</v>
      </c>
      <c r="F5" s="161">
        <v>10000</v>
      </c>
    </row>
    <row r="6" spans="1:9" ht="14.5" customHeight="1" x14ac:dyDescent="0.35">
      <c r="A6" s="50" t="s">
        <v>452</v>
      </c>
      <c r="B6" s="158"/>
      <c r="C6" s="159">
        <v>550</v>
      </c>
      <c r="E6" s="160" t="s">
        <v>453</v>
      </c>
      <c r="F6" s="161">
        <v>10000</v>
      </c>
    </row>
    <row r="7" spans="1:9" ht="14.5" customHeight="1" x14ac:dyDescent="0.35">
      <c r="A7" s="50" t="s">
        <v>454</v>
      </c>
      <c r="B7" s="158">
        <f>7442-B2</f>
        <v>3721</v>
      </c>
      <c r="C7" s="159"/>
      <c r="E7" s="160"/>
      <c r="F7" s="161"/>
    </row>
    <row r="8" spans="1:9" ht="14.5" customHeight="1" x14ac:dyDescent="0.35">
      <c r="A8" s="50"/>
      <c r="B8" s="158"/>
      <c r="C8" s="159"/>
      <c r="E8" s="160"/>
      <c r="F8" s="161"/>
    </row>
    <row r="9" spans="1:9" ht="14.5" customHeight="1" x14ac:dyDescent="0.35">
      <c r="A9" s="50"/>
      <c r="B9" s="162">
        <f>SUM(B2:B8)</f>
        <v>7442</v>
      </c>
      <c r="C9" s="163">
        <f>SUM(C2:C8)</f>
        <v>1598.8321951219514</v>
      </c>
      <c r="E9" s="160"/>
      <c r="F9" s="161"/>
    </row>
    <row r="10" spans="1:9" ht="14.5" customHeight="1" x14ac:dyDescent="0.35">
      <c r="E10" s="160"/>
      <c r="F10" s="165">
        <f>SUM(F2:F8)</f>
        <v>30000</v>
      </c>
      <c r="I10" s="116"/>
    </row>
    <row r="11" spans="1:9" ht="14.5" customHeight="1" x14ac:dyDescent="0.35">
      <c r="A11" s="166" t="s">
        <v>455</v>
      </c>
      <c r="B11" s="334">
        <f>+B9-C9</f>
        <v>5843.1678048780486</v>
      </c>
      <c r="C11" s="334"/>
    </row>
    <row r="12" spans="1:9" ht="14.5" customHeight="1" x14ac:dyDescent="0.35">
      <c r="A12" s="166" t="s">
        <v>17</v>
      </c>
      <c r="B12" s="335">
        <f>+B11/B9</f>
        <v>0.78516095201263758</v>
      </c>
      <c r="C12" s="335"/>
      <c r="I12" s="116"/>
    </row>
    <row r="13" spans="1:9" ht="14.5" customHeight="1" x14ac:dyDescent="0.35"/>
    <row r="14" spans="1:9" ht="14.5" customHeight="1" x14ac:dyDescent="0.35"/>
    <row r="15" spans="1:9" ht="14.5" customHeight="1" x14ac:dyDescent="0.35"/>
    <row r="16" spans="1:9" ht="14.5" x14ac:dyDescent="0.35">
      <c r="H16" s="123"/>
    </row>
    <row r="17" spans="1:10" ht="14.5" x14ac:dyDescent="0.35"/>
    <row r="18" spans="1:10" ht="14.5" x14ac:dyDescent="0.35"/>
    <row r="20" spans="1:10" ht="14.5" x14ac:dyDescent="0.35">
      <c r="A20" s="58" t="s">
        <v>4</v>
      </c>
      <c r="B20" s="58"/>
      <c r="C20" s="114"/>
      <c r="H20" s="123"/>
      <c r="I20" t="s">
        <v>9</v>
      </c>
      <c r="J20">
        <v>41</v>
      </c>
    </row>
    <row r="21" spans="1:10" ht="14.5" customHeight="1" x14ac:dyDescent="0.35">
      <c r="A21" s="50" t="s">
        <v>456</v>
      </c>
      <c r="B21" s="169">
        <f>+'Lista Materiales'!H46</f>
        <v>0</v>
      </c>
      <c r="C21" s="332">
        <f>SUM(B21:B24)</f>
        <v>129.32</v>
      </c>
      <c r="E21" s="336" t="s">
        <v>208</v>
      </c>
      <c r="F21" s="336"/>
      <c r="G21" s="114"/>
    </row>
    <row r="22" spans="1:10" ht="14.5" x14ac:dyDescent="0.35">
      <c r="A22" s="50" t="s">
        <v>206</v>
      </c>
      <c r="B22" s="170">
        <f>+'Lista Materiales'!H59</f>
        <v>0</v>
      </c>
      <c r="C22" s="332"/>
      <c r="E22" s="50" t="s">
        <v>457</v>
      </c>
      <c r="F22" s="164">
        <v>700</v>
      </c>
    </row>
    <row r="23" spans="1:10" ht="14.5" customHeight="1" x14ac:dyDescent="0.35">
      <c r="A23" s="50" t="s">
        <v>148</v>
      </c>
      <c r="B23" s="170">
        <f>+'Lista Materiales'!H63</f>
        <v>58.56</v>
      </c>
      <c r="C23" s="332"/>
      <c r="E23" s="50" t="s">
        <v>103</v>
      </c>
      <c r="F23" s="164">
        <v>5000</v>
      </c>
    </row>
    <row r="24" spans="1:10" ht="14.5" customHeight="1" x14ac:dyDescent="0.35">
      <c r="A24" s="50" t="s">
        <v>23</v>
      </c>
      <c r="B24" s="170">
        <f>+'Lista Materiales'!H62+'Lista Materiales'!H64+'Lista Materiales'!H65</f>
        <v>70.760000000000005</v>
      </c>
      <c r="C24" s="332"/>
      <c r="E24" s="50" t="s">
        <v>212</v>
      </c>
      <c r="F24" s="164"/>
    </row>
    <row r="25" spans="1:10" ht="14.5" customHeight="1" x14ac:dyDescent="0.35">
      <c r="A25" s="50" t="s">
        <v>208</v>
      </c>
      <c r="B25" s="164">
        <f>+F32/J20</f>
        <v>187.80487804878049</v>
      </c>
      <c r="E25" s="50" t="s">
        <v>458</v>
      </c>
      <c r="F25" s="164">
        <v>0</v>
      </c>
    </row>
    <row r="26" spans="1:10" ht="14.5" x14ac:dyDescent="0.35">
      <c r="A26" s="50" t="s">
        <v>459</v>
      </c>
      <c r="B26" s="54">
        <f>+F10/J20</f>
        <v>731.70731707317077</v>
      </c>
      <c r="E26" s="50" t="s">
        <v>460</v>
      </c>
      <c r="F26" s="164"/>
    </row>
    <row r="27" spans="1:10" ht="14.5" customHeight="1" x14ac:dyDescent="0.35">
      <c r="A27" s="50"/>
      <c r="B27" s="54"/>
      <c r="E27" s="50" t="s">
        <v>101</v>
      </c>
      <c r="F27" s="164">
        <v>2000</v>
      </c>
    </row>
    <row r="28" spans="1:10" ht="14.5" customHeight="1" x14ac:dyDescent="0.35">
      <c r="A28" s="50"/>
      <c r="B28" s="167">
        <f>SUM(B21:B27)</f>
        <v>1048.8321951219514</v>
      </c>
      <c r="E28" s="50" t="s">
        <v>461</v>
      </c>
      <c r="F28" s="164"/>
    </row>
    <row r="29" spans="1:10" ht="14.5" x14ac:dyDescent="0.35">
      <c r="E29" s="50"/>
      <c r="F29" s="164"/>
    </row>
    <row r="30" spans="1:10" ht="14.5" x14ac:dyDescent="0.35">
      <c r="E30" s="50"/>
      <c r="F30" s="164"/>
    </row>
    <row r="31" spans="1:10" ht="14.5" x14ac:dyDescent="0.35">
      <c r="E31" s="50"/>
      <c r="F31" s="164"/>
    </row>
    <row r="32" spans="1:10" ht="14.5" x14ac:dyDescent="0.35">
      <c r="E32" s="58" t="s">
        <v>462</v>
      </c>
      <c r="F32" s="167">
        <f>SUM(F22:F31)</f>
        <v>7700</v>
      </c>
    </row>
  </sheetData>
  <mergeCells count="5">
    <mergeCell ref="C21:C24"/>
    <mergeCell ref="E1:F1"/>
    <mergeCell ref="B11:C11"/>
    <mergeCell ref="B12:C12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Costeo China</vt:lpstr>
      <vt:lpstr>Calculadora China</vt:lpstr>
      <vt:lpstr>Costeo URU (monotributo)</vt:lpstr>
      <vt:lpstr>CALCULADORA</vt:lpstr>
      <vt:lpstr>Costos</vt:lpstr>
      <vt:lpstr>Detalle costos</vt:lpstr>
      <vt:lpstr>Importación paneles</vt:lpstr>
      <vt:lpstr>Lista Materiales</vt:lpstr>
      <vt:lpstr>Financiacion BBVA</vt:lpstr>
      <vt:lpstr>Rentabilidad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</dc:creator>
  <cp:keywords/>
  <dc:description/>
  <cp:lastModifiedBy>JuLy_ sOsA</cp:lastModifiedBy>
  <cp:revision/>
  <dcterms:created xsi:type="dcterms:W3CDTF">2015-06-05T18:19:34Z</dcterms:created>
  <dcterms:modified xsi:type="dcterms:W3CDTF">2026-07-03T02:40:04Z</dcterms:modified>
  <cp:category/>
  <cp:contentStatus/>
</cp:coreProperties>
</file>