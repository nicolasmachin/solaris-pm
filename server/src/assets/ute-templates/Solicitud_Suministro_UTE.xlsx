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embeddings/oleObject2.bin" ContentType="application/vnd.openxmlformats-officedocument.oleObject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nicolasmachin/Downloads/"/>
    </mc:Choice>
  </mc:AlternateContent>
  <xr:revisionPtr revIDLastSave="0" documentId="8_{E5910B68-4B38-A24E-B90A-9C78DFB11485}" xr6:coauthVersionLast="47" xr6:coauthVersionMax="47" xr10:uidLastSave="{00000000-0000-0000-0000-000000000000}"/>
  <bookViews>
    <workbookView showSheetTabs="0" xWindow="0" yWindow="600" windowWidth="38400" windowHeight="19420" activeTab="2" xr2:uid="{00000000-000D-0000-FFFF-FFFF00000000}"/>
  </bookViews>
  <sheets>
    <sheet name="individual (2)" sheetId="6" state="hidden" r:id="rId1"/>
    <sheet name="Inicio" sheetId="7" r:id="rId2"/>
    <sheet name="Individual" sheetId="3" r:id="rId3"/>
    <sheet name="Colectiva" sheetId="1" r:id="rId4"/>
    <sheet name="Colectiva (2)" sheetId="9" r:id="rId5"/>
    <sheet name="Reconexion" sheetId="8" r:id="rId6"/>
    <sheet name="check" sheetId="2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3" l="1"/>
  <c r="B46" i="3"/>
  <c r="K18" i="3" l="1"/>
  <c r="K19" i="1"/>
  <c r="K20" i="8"/>
  <c r="B77" i="2"/>
  <c r="B68" i="2" l="1"/>
  <c r="E61" i="2"/>
  <c r="G61" i="2" s="1"/>
  <c r="I61" i="2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I91" i="2"/>
  <c r="J91" i="2" s="1"/>
  <c r="I92" i="2"/>
  <c r="I93" i="2"/>
  <c r="J93" i="2" s="1"/>
  <c r="I94" i="2"/>
  <c r="J94" i="2" s="1"/>
  <c r="I95" i="2"/>
  <c r="J95" i="2" s="1"/>
  <c r="I96" i="2"/>
  <c r="J96" i="2" s="1"/>
  <c r="I97" i="2"/>
  <c r="J97" i="2" s="1"/>
  <c r="I98" i="2"/>
  <c r="I99" i="2"/>
  <c r="J99" i="2" s="1"/>
  <c r="I100" i="2"/>
  <c r="J100" i="2" s="1"/>
  <c r="I101" i="2"/>
  <c r="J101" i="2" s="1"/>
  <c r="I102" i="2"/>
  <c r="I103" i="2"/>
  <c r="J103" i="2" s="1"/>
  <c r="I104" i="2"/>
  <c r="I105" i="2"/>
  <c r="J105" i="2" s="1"/>
  <c r="I106" i="2"/>
  <c r="J106" i="2" s="1"/>
  <c r="I107" i="2"/>
  <c r="I108" i="2"/>
  <c r="I109" i="2"/>
  <c r="J109" i="2" s="1"/>
  <c r="I110" i="2"/>
  <c r="I111" i="2"/>
  <c r="J111" i="2" s="1"/>
  <c r="I112" i="2"/>
  <c r="J112" i="2" s="1"/>
  <c r="I113" i="2"/>
  <c r="J113" i="2" s="1"/>
  <c r="I114" i="2"/>
  <c r="J114" i="2"/>
  <c r="I115" i="2"/>
  <c r="J115" i="2" s="1"/>
  <c r="I116" i="2"/>
  <c r="I117" i="2"/>
  <c r="J117" i="2" s="1"/>
  <c r="I118" i="2"/>
  <c r="I119" i="2"/>
  <c r="I120" i="2"/>
  <c r="J120" i="2" s="1"/>
  <c r="I121" i="2"/>
  <c r="I122" i="2"/>
  <c r="I123" i="2"/>
  <c r="J123" i="2" s="1"/>
  <c r="I124" i="2"/>
  <c r="I125" i="2"/>
  <c r="I126" i="2"/>
  <c r="J126" i="2" s="1"/>
  <c r="I127" i="2"/>
  <c r="J127" i="2" s="1"/>
  <c r="I128" i="2"/>
  <c r="J128" i="2" s="1"/>
  <c r="I129" i="2"/>
  <c r="I130" i="2"/>
  <c r="R61" i="2"/>
  <c r="S61" i="2" s="1"/>
  <c r="R62" i="2"/>
  <c r="S62" i="2" s="1"/>
  <c r="R63" i="2"/>
  <c r="S63" i="2" s="1"/>
  <c r="R64" i="2"/>
  <c r="S64" i="2" s="1"/>
  <c r="R65" i="2"/>
  <c r="S65" i="2" s="1"/>
  <c r="R66" i="2"/>
  <c r="S66" i="2" s="1"/>
  <c r="R67" i="2"/>
  <c r="S67" i="2" s="1"/>
  <c r="R68" i="2"/>
  <c r="S68" i="2" s="1"/>
  <c r="R69" i="2"/>
  <c r="S69" i="2" s="1"/>
  <c r="R70" i="2"/>
  <c r="S70" i="2" s="1"/>
  <c r="R71" i="2"/>
  <c r="S71" i="2" s="1"/>
  <c r="R72" i="2"/>
  <c r="S72" i="2" s="1"/>
  <c r="R73" i="2"/>
  <c r="S73" i="2" s="1"/>
  <c r="R74" i="2"/>
  <c r="S74" i="2" s="1"/>
  <c r="R75" i="2"/>
  <c r="S75" i="2" s="1"/>
  <c r="R76" i="2"/>
  <c r="S76" i="2" s="1"/>
  <c r="R77" i="2"/>
  <c r="S77" i="2" s="1"/>
  <c r="R78" i="2"/>
  <c r="S78" i="2" s="1"/>
  <c r="R79" i="2"/>
  <c r="S79" i="2" s="1"/>
  <c r="R80" i="2"/>
  <c r="S80" i="2" s="1"/>
  <c r="R81" i="2"/>
  <c r="S81" i="2" s="1"/>
  <c r="R82" i="2"/>
  <c r="S82" i="2" s="1"/>
  <c r="R83" i="2"/>
  <c r="S83" i="2" s="1"/>
  <c r="R84" i="2"/>
  <c r="S84" i="2" s="1"/>
  <c r="R85" i="2"/>
  <c r="S85" i="2" s="1"/>
  <c r="R86" i="2"/>
  <c r="S86" i="2" s="1"/>
  <c r="R87" i="2"/>
  <c r="S87" i="2" s="1"/>
  <c r="R88" i="2"/>
  <c r="S88" i="2" s="1"/>
  <c r="R89" i="2"/>
  <c r="R90" i="2"/>
  <c r="S90" i="2" s="1"/>
  <c r="R91" i="2"/>
  <c r="S91" i="2" s="1"/>
  <c r="R92" i="2"/>
  <c r="S92" i="2" s="1"/>
  <c r="R93" i="2"/>
  <c r="S93" i="2" s="1"/>
  <c r="R94" i="2"/>
  <c r="S94" i="2" s="1"/>
  <c r="R95" i="2"/>
  <c r="S95" i="2" s="1"/>
  <c r="R96" i="2"/>
  <c r="S96" i="2" s="1"/>
  <c r="R97" i="2"/>
  <c r="S97" i="2" s="1"/>
  <c r="R98" i="2"/>
  <c r="S98" i="2" s="1"/>
  <c r="R99" i="2"/>
  <c r="S99" i="2" s="1"/>
  <c r="R100" i="2"/>
  <c r="S100" i="2" s="1"/>
  <c r="R101" i="2"/>
  <c r="S101" i="2" s="1"/>
  <c r="R102" i="2"/>
  <c r="S102" i="2" s="1"/>
  <c r="R103" i="2"/>
  <c r="S103" i="2" s="1"/>
  <c r="R104" i="2"/>
  <c r="S104" i="2" s="1"/>
  <c r="R105" i="2"/>
  <c r="S105" i="2" s="1"/>
  <c r="R106" i="2"/>
  <c r="S106" i="2" s="1"/>
  <c r="R107" i="2"/>
  <c r="R108" i="2"/>
  <c r="S108" i="2" s="1"/>
  <c r="R109" i="2"/>
  <c r="S109" i="2" s="1"/>
  <c r="R110" i="2"/>
  <c r="S110" i="2" s="1"/>
  <c r="R111" i="2"/>
  <c r="S111" i="2" s="1"/>
  <c r="R112" i="2"/>
  <c r="S112" i="2" s="1"/>
  <c r="R113" i="2"/>
  <c r="S113" i="2" s="1"/>
  <c r="R114" i="2"/>
  <c r="S114" i="2" s="1"/>
  <c r="R115" i="2"/>
  <c r="S115" i="2" s="1"/>
  <c r="R116" i="2"/>
  <c r="S116" i="2" s="1"/>
  <c r="R117" i="2"/>
  <c r="S117" i="2" s="1"/>
  <c r="R118" i="2"/>
  <c r="S118" i="2" s="1"/>
  <c r="R119" i="2"/>
  <c r="S119" i="2" s="1"/>
  <c r="R120" i="2"/>
  <c r="S120" i="2" s="1"/>
  <c r="R121" i="2"/>
  <c r="S121" i="2" s="1"/>
  <c r="R122" i="2"/>
  <c r="S122" i="2" s="1"/>
  <c r="R123" i="2"/>
  <c r="S123" i="2" s="1"/>
  <c r="R124" i="2"/>
  <c r="S124" i="2" s="1"/>
  <c r="R125" i="2"/>
  <c r="R126" i="2"/>
  <c r="S126" i="2" s="1"/>
  <c r="R128" i="2"/>
  <c r="S128" i="2" s="1"/>
  <c r="R129" i="2"/>
  <c r="S129" i="2" s="1"/>
  <c r="R130" i="2"/>
  <c r="S130" i="2" s="1"/>
  <c r="H61" i="2"/>
  <c r="N61" i="2"/>
  <c r="O61" i="2" s="1"/>
  <c r="Q61" i="2"/>
  <c r="E62" i="2"/>
  <c r="F62" i="2" s="1"/>
  <c r="H62" i="2"/>
  <c r="N62" i="2"/>
  <c r="O62" i="2" s="1"/>
  <c r="Q62" i="2"/>
  <c r="E63" i="2"/>
  <c r="G63" i="2" s="1"/>
  <c r="H63" i="2"/>
  <c r="N63" i="2"/>
  <c r="O63" i="2" s="1"/>
  <c r="Q63" i="2"/>
  <c r="E64" i="2"/>
  <c r="G64" i="2" s="1"/>
  <c r="H64" i="2"/>
  <c r="N64" i="2"/>
  <c r="P64" i="2" s="1"/>
  <c r="Q64" i="2"/>
  <c r="E65" i="2"/>
  <c r="G65" i="2" s="1"/>
  <c r="H65" i="2"/>
  <c r="N65" i="2"/>
  <c r="O65" i="2" s="1"/>
  <c r="Q65" i="2"/>
  <c r="E66" i="2"/>
  <c r="F66" i="2" s="1"/>
  <c r="H66" i="2"/>
  <c r="N66" i="2"/>
  <c r="P66" i="2" s="1"/>
  <c r="Q66" i="2"/>
  <c r="E67" i="2"/>
  <c r="G67" i="2" s="1"/>
  <c r="H67" i="2"/>
  <c r="N67" i="2"/>
  <c r="P67" i="2" s="1"/>
  <c r="Q67" i="2"/>
  <c r="E68" i="2"/>
  <c r="G68" i="2" s="1"/>
  <c r="H68" i="2"/>
  <c r="N68" i="2"/>
  <c r="O68" i="2" s="1"/>
  <c r="Q68" i="2"/>
  <c r="E69" i="2"/>
  <c r="F69" i="2" s="1"/>
  <c r="H69" i="2"/>
  <c r="N69" i="2"/>
  <c r="P69" i="2" s="1"/>
  <c r="Q69" i="2"/>
  <c r="E70" i="2"/>
  <c r="G70" i="2" s="1"/>
  <c r="H70" i="2"/>
  <c r="N70" i="2"/>
  <c r="O70" i="2" s="1"/>
  <c r="Q70" i="2"/>
  <c r="E71" i="2"/>
  <c r="G71" i="2" s="1"/>
  <c r="H71" i="2"/>
  <c r="N71" i="2"/>
  <c r="O71" i="2" s="1"/>
  <c r="Q71" i="2"/>
  <c r="E72" i="2"/>
  <c r="F72" i="2" s="1"/>
  <c r="H72" i="2"/>
  <c r="N72" i="2"/>
  <c r="P72" i="2" s="1"/>
  <c r="Q72" i="2"/>
  <c r="E73" i="2"/>
  <c r="F73" i="2" s="1"/>
  <c r="H73" i="2"/>
  <c r="N73" i="2"/>
  <c r="P73" i="2" s="1"/>
  <c r="Q73" i="2"/>
  <c r="E74" i="2"/>
  <c r="G74" i="2" s="1"/>
  <c r="H74" i="2"/>
  <c r="N74" i="2"/>
  <c r="O74" i="2" s="1"/>
  <c r="Q74" i="2"/>
  <c r="E75" i="2"/>
  <c r="F75" i="2" s="1"/>
  <c r="H75" i="2"/>
  <c r="N75" i="2"/>
  <c r="P75" i="2" s="1"/>
  <c r="Q75" i="2"/>
  <c r="E76" i="2"/>
  <c r="G76" i="2" s="1"/>
  <c r="H76" i="2"/>
  <c r="N76" i="2"/>
  <c r="P76" i="2" s="1"/>
  <c r="Q76" i="2"/>
  <c r="E77" i="2"/>
  <c r="G77" i="2" s="1"/>
  <c r="H77" i="2"/>
  <c r="N77" i="2"/>
  <c r="O77" i="2" s="1"/>
  <c r="Q77" i="2"/>
  <c r="E78" i="2"/>
  <c r="F78" i="2" s="1"/>
  <c r="H78" i="2"/>
  <c r="N78" i="2"/>
  <c r="P78" i="2" s="1"/>
  <c r="Q78" i="2"/>
  <c r="E79" i="2"/>
  <c r="G79" i="2" s="1"/>
  <c r="H79" i="2"/>
  <c r="N79" i="2"/>
  <c r="O79" i="2" s="1"/>
  <c r="Q79" i="2"/>
  <c r="E80" i="2"/>
  <c r="G80" i="2" s="1"/>
  <c r="H80" i="2"/>
  <c r="N80" i="2"/>
  <c r="P80" i="2" s="1"/>
  <c r="Q80" i="2"/>
  <c r="E81" i="2"/>
  <c r="G81" i="2" s="1"/>
  <c r="H81" i="2"/>
  <c r="N81" i="2"/>
  <c r="P81" i="2" s="1"/>
  <c r="Q81" i="2"/>
  <c r="E82" i="2"/>
  <c r="F82" i="2" s="1"/>
  <c r="H82" i="2"/>
  <c r="N82" i="2"/>
  <c r="O82" i="2" s="1"/>
  <c r="Q82" i="2"/>
  <c r="E83" i="2"/>
  <c r="G83" i="2" s="1"/>
  <c r="H83" i="2"/>
  <c r="N83" i="2"/>
  <c r="O83" i="2" s="1"/>
  <c r="Q83" i="2"/>
  <c r="E84" i="2"/>
  <c r="G84" i="2" s="1"/>
  <c r="H84" i="2"/>
  <c r="N84" i="2"/>
  <c r="Q84" i="2"/>
  <c r="E85" i="2"/>
  <c r="F85" i="2" s="1"/>
  <c r="H85" i="2"/>
  <c r="N85" i="2"/>
  <c r="O85" i="2" s="1"/>
  <c r="Q85" i="2"/>
  <c r="E86" i="2"/>
  <c r="G86" i="2" s="1"/>
  <c r="H86" i="2"/>
  <c r="N86" i="2"/>
  <c r="P86" i="2" s="1"/>
  <c r="Q86" i="2"/>
  <c r="E87" i="2"/>
  <c r="F87" i="2" s="1"/>
  <c r="H87" i="2"/>
  <c r="N87" i="2"/>
  <c r="P87" i="2" s="1"/>
  <c r="Q87" i="2"/>
  <c r="E88" i="2"/>
  <c r="F88" i="2" s="1"/>
  <c r="H88" i="2"/>
  <c r="N88" i="2"/>
  <c r="O88" i="2" s="1"/>
  <c r="Q88" i="2"/>
  <c r="E89" i="2"/>
  <c r="G89" i="2" s="1"/>
  <c r="H89" i="2"/>
  <c r="N89" i="2"/>
  <c r="O89" i="2" s="1"/>
  <c r="Q89" i="2"/>
  <c r="E90" i="2"/>
  <c r="G90" i="2" s="1"/>
  <c r="H90" i="2"/>
  <c r="N90" i="2"/>
  <c r="P90" i="2" s="1"/>
  <c r="Q90" i="2"/>
  <c r="E91" i="2"/>
  <c r="F91" i="2" s="1"/>
  <c r="H91" i="2"/>
  <c r="N91" i="2"/>
  <c r="O91" i="2" s="1"/>
  <c r="Q91" i="2"/>
  <c r="E92" i="2"/>
  <c r="G92" i="2" s="1"/>
  <c r="H92" i="2"/>
  <c r="N92" i="2"/>
  <c r="Q92" i="2"/>
  <c r="E93" i="2"/>
  <c r="G93" i="2" s="1"/>
  <c r="H93" i="2"/>
  <c r="N93" i="2"/>
  <c r="P93" i="2" s="1"/>
  <c r="Q93" i="2"/>
  <c r="E94" i="2"/>
  <c r="F94" i="2" s="1"/>
  <c r="H94" i="2"/>
  <c r="N94" i="2"/>
  <c r="O94" i="2" s="1"/>
  <c r="Q94" i="2"/>
  <c r="E95" i="2"/>
  <c r="G95" i="2" s="1"/>
  <c r="H95" i="2"/>
  <c r="N95" i="2"/>
  <c r="O95" i="2" s="1"/>
  <c r="Q95" i="2"/>
  <c r="E96" i="2"/>
  <c r="G96" i="2" s="1"/>
  <c r="H96" i="2"/>
  <c r="N96" i="2"/>
  <c r="P96" i="2" s="1"/>
  <c r="Q96" i="2"/>
  <c r="E97" i="2"/>
  <c r="F97" i="2" s="1"/>
  <c r="H97" i="2"/>
  <c r="N97" i="2"/>
  <c r="O97" i="2" s="1"/>
  <c r="Q97" i="2"/>
  <c r="E98" i="2"/>
  <c r="G98" i="2" s="1"/>
  <c r="H98" i="2"/>
  <c r="N98" i="2"/>
  <c r="P98" i="2" s="1"/>
  <c r="Q98" i="2"/>
  <c r="E99" i="2"/>
  <c r="G99" i="2" s="1"/>
  <c r="H99" i="2"/>
  <c r="N99" i="2"/>
  <c r="P99" i="2" s="1"/>
  <c r="Q99" i="2"/>
  <c r="E100" i="2"/>
  <c r="F100" i="2" s="1"/>
  <c r="H100" i="2"/>
  <c r="N100" i="2"/>
  <c r="O100" i="2" s="1"/>
  <c r="Q100" i="2"/>
  <c r="E101" i="2"/>
  <c r="G101" i="2" s="1"/>
  <c r="H101" i="2"/>
  <c r="N101" i="2"/>
  <c r="O101" i="2" s="1"/>
  <c r="Q101" i="2"/>
  <c r="E102" i="2"/>
  <c r="G102" i="2" s="1"/>
  <c r="H102" i="2"/>
  <c r="N102" i="2"/>
  <c r="P102" i="2" s="1"/>
  <c r="Q102" i="2"/>
  <c r="E103" i="2"/>
  <c r="F103" i="2" s="1"/>
  <c r="H103" i="2"/>
  <c r="N103" i="2"/>
  <c r="O103" i="2" s="1"/>
  <c r="Q103" i="2"/>
  <c r="E104" i="2"/>
  <c r="G104" i="2" s="1"/>
  <c r="H104" i="2"/>
  <c r="N104" i="2"/>
  <c r="P104" i="2" s="1"/>
  <c r="Q104" i="2"/>
  <c r="E105" i="2"/>
  <c r="F105" i="2" s="1"/>
  <c r="H105" i="2"/>
  <c r="N105" i="2"/>
  <c r="P105" i="2" s="1"/>
  <c r="Q105" i="2"/>
  <c r="E106" i="2"/>
  <c r="F106" i="2" s="1"/>
  <c r="H106" i="2"/>
  <c r="N106" i="2"/>
  <c r="O106" i="2" s="1"/>
  <c r="Q106" i="2"/>
  <c r="E107" i="2"/>
  <c r="G107" i="2" s="1"/>
  <c r="H107" i="2"/>
  <c r="N107" i="2"/>
  <c r="O107" i="2" s="1"/>
  <c r="Q107" i="2"/>
  <c r="E108" i="2"/>
  <c r="G108" i="2" s="1"/>
  <c r="H108" i="2"/>
  <c r="N108" i="2"/>
  <c r="P108" i="2" s="1"/>
  <c r="Q108" i="2"/>
  <c r="E109" i="2"/>
  <c r="F109" i="2" s="1"/>
  <c r="H109" i="2"/>
  <c r="N109" i="2"/>
  <c r="O109" i="2" s="1"/>
  <c r="Q109" i="2"/>
  <c r="E110" i="2"/>
  <c r="G110" i="2" s="1"/>
  <c r="H110" i="2"/>
  <c r="N110" i="2"/>
  <c r="Q110" i="2"/>
  <c r="E111" i="2"/>
  <c r="G111" i="2" s="1"/>
  <c r="F111" i="2"/>
  <c r="H111" i="2"/>
  <c r="N111" i="2"/>
  <c r="P111" i="2" s="1"/>
  <c r="Q111" i="2"/>
  <c r="E112" i="2"/>
  <c r="F112" i="2" s="1"/>
  <c r="H112" i="2"/>
  <c r="N112" i="2"/>
  <c r="O112" i="2" s="1"/>
  <c r="Q112" i="2"/>
  <c r="E113" i="2"/>
  <c r="G113" i="2" s="1"/>
  <c r="H113" i="2"/>
  <c r="N113" i="2"/>
  <c r="P113" i="2" s="1"/>
  <c r="Q113" i="2"/>
  <c r="E114" i="2"/>
  <c r="G114" i="2" s="1"/>
  <c r="H114" i="2"/>
  <c r="N114" i="2"/>
  <c r="P114" i="2" s="1"/>
  <c r="Q114" i="2"/>
  <c r="E115" i="2"/>
  <c r="F115" i="2" s="1"/>
  <c r="H115" i="2"/>
  <c r="N115" i="2"/>
  <c r="O115" i="2" s="1"/>
  <c r="Q115" i="2"/>
  <c r="E116" i="2"/>
  <c r="G116" i="2" s="1"/>
  <c r="H116" i="2"/>
  <c r="N116" i="2"/>
  <c r="P116" i="2" s="1"/>
  <c r="Q116" i="2"/>
  <c r="E117" i="2"/>
  <c r="G117" i="2" s="1"/>
  <c r="H117" i="2"/>
  <c r="N117" i="2"/>
  <c r="P117" i="2" s="1"/>
  <c r="Q117" i="2"/>
  <c r="E118" i="2"/>
  <c r="F118" i="2" s="1"/>
  <c r="H118" i="2"/>
  <c r="N118" i="2"/>
  <c r="O118" i="2" s="1"/>
  <c r="Q118" i="2"/>
  <c r="E119" i="2"/>
  <c r="G119" i="2" s="1"/>
  <c r="H119" i="2"/>
  <c r="N119" i="2"/>
  <c r="O119" i="2" s="1"/>
  <c r="Q119" i="2"/>
  <c r="E120" i="2"/>
  <c r="G120" i="2" s="1"/>
  <c r="H120" i="2"/>
  <c r="N120" i="2"/>
  <c r="P120" i="2" s="1"/>
  <c r="Q120" i="2"/>
  <c r="E121" i="2"/>
  <c r="G121" i="2" s="1"/>
  <c r="H121" i="2"/>
  <c r="N121" i="2"/>
  <c r="O121" i="2" s="1"/>
  <c r="Q121" i="2"/>
  <c r="E122" i="2"/>
  <c r="G122" i="2" s="1"/>
  <c r="H122" i="2"/>
  <c r="N122" i="2"/>
  <c r="O122" i="2" s="1"/>
  <c r="Q122" i="2"/>
  <c r="E123" i="2"/>
  <c r="F123" i="2" s="1"/>
  <c r="H123" i="2"/>
  <c r="N123" i="2"/>
  <c r="P123" i="2" s="1"/>
  <c r="Q123" i="2"/>
  <c r="E124" i="2"/>
  <c r="F124" i="2" s="1"/>
  <c r="H124" i="2"/>
  <c r="N124" i="2"/>
  <c r="P124" i="2" s="1"/>
  <c r="Q124" i="2"/>
  <c r="E125" i="2"/>
  <c r="G125" i="2" s="1"/>
  <c r="H125" i="2"/>
  <c r="N125" i="2"/>
  <c r="O125" i="2" s="1"/>
  <c r="Q125" i="2"/>
  <c r="E126" i="2"/>
  <c r="F126" i="2" s="1"/>
  <c r="H126" i="2"/>
  <c r="N126" i="2"/>
  <c r="P126" i="2" s="1"/>
  <c r="Q126" i="2"/>
  <c r="E127" i="2"/>
  <c r="G127" i="2" s="1"/>
  <c r="H127" i="2"/>
  <c r="N127" i="2"/>
  <c r="O127" i="2" s="1"/>
  <c r="Q127" i="2"/>
  <c r="R127" i="2"/>
  <c r="E128" i="2"/>
  <c r="F128" i="2" s="1"/>
  <c r="H128" i="2"/>
  <c r="N128" i="2"/>
  <c r="P128" i="2" s="1"/>
  <c r="Q128" i="2"/>
  <c r="E129" i="2"/>
  <c r="F129" i="2" s="1"/>
  <c r="H129" i="2"/>
  <c r="N129" i="2"/>
  <c r="O129" i="2" s="1"/>
  <c r="Q129" i="2"/>
  <c r="E130" i="2"/>
  <c r="G130" i="2" s="1"/>
  <c r="H130" i="2"/>
  <c r="N130" i="2"/>
  <c r="O130" i="2" s="1"/>
  <c r="Q130" i="2"/>
  <c r="T110" i="2" l="1"/>
  <c r="K69" i="2"/>
  <c r="K124" i="2"/>
  <c r="P84" i="2"/>
  <c r="O84" i="2"/>
  <c r="P121" i="2"/>
  <c r="K129" i="2"/>
  <c r="K87" i="2"/>
  <c r="L87" i="2" s="1"/>
  <c r="K98" i="2"/>
  <c r="K75" i="2"/>
  <c r="T99" i="2"/>
  <c r="U99" i="2" s="1"/>
  <c r="T79" i="2"/>
  <c r="K118" i="2"/>
  <c r="F125" i="2"/>
  <c r="F67" i="2"/>
  <c r="T125" i="2"/>
  <c r="T107" i="2"/>
  <c r="K130" i="2"/>
  <c r="K125" i="2"/>
  <c r="K119" i="2"/>
  <c r="L119" i="2" s="1"/>
  <c r="K108" i="2"/>
  <c r="K102" i="2"/>
  <c r="K92" i="2"/>
  <c r="J75" i="2"/>
  <c r="T123" i="2"/>
  <c r="T93" i="2"/>
  <c r="T75" i="2"/>
  <c r="K94" i="2"/>
  <c r="L94" i="2" s="1"/>
  <c r="K123" i="2"/>
  <c r="L123" i="2" s="1"/>
  <c r="F93" i="2"/>
  <c r="F74" i="2"/>
  <c r="T89" i="2"/>
  <c r="J129" i="2"/>
  <c r="K107" i="2"/>
  <c r="T122" i="2"/>
  <c r="U122" i="2" s="1"/>
  <c r="T92" i="2"/>
  <c r="U92" i="2" s="1"/>
  <c r="T74" i="2"/>
  <c r="U74" i="2" s="1"/>
  <c r="K65" i="2"/>
  <c r="L65" i="2" s="1"/>
  <c r="K95" i="2"/>
  <c r="L95" i="2" s="1"/>
  <c r="P95" i="2"/>
  <c r="T94" i="2"/>
  <c r="U94" i="2" s="1"/>
  <c r="K101" i="2"/>
  <c r="L101" i="2" s="1"/>
  <c r="K90" i="2"/>
  <c r="T117" i="2"/>
  <c r="U117" i="2" s="1"/>
  <c r="T86" i="2"/>
  <c r="T69" i="2"/>
  <c r="U69" i="2" s="1"/>
  <c r="K99" i="2"/>
  <c r="L99" i="2" s="1"/>
  <c r="K122" i="2"/>
  <c r="K116" i="2"/>
  <c r="T111" i="2"/>
  <c r="U111" i="2" s="1"/>
  <c r="T81" i="2"/>
  <c r="T63" i="2"/>
  <c r="U63" i="2" s="1"/>
  <c r="K105" i="2"/>
  <c r="L105" i="2" s="1"/>
  <c r="G82" i="2"/>
  <c r="K121" i="2"/>
  <c r="K110" i="2"/>
  <c r="K104" i="2"/>
  <c r="T105" i="2"/>
  <c r="U105" i="2" s="1"/>
  <c r="T80" i="2"/>
  <c r="U80" i="2" s="1"/>
  <c r="T61" i="2"/>
  <c r="U61" i="2" s="1"/>
  <c r="K81" i="2"/>
  <c r="L81" i="2" s="1"/>
  <c r="K117" i="2"/>
  <c r="T87" i="2"/>
  <c r="K63" i="2"/>
  <c r="L63" i="2" s="1"/>
  <c r="K93" i="2"/>
  <c r="L93" i="2" s="1"/>
  <c r="T68" i="2"/>
  <c r="U68" i="2" s="1"/>
  <c r="T127" i="2"/>
  <c r="L117" i="2"/>
  <c r="T119" i="2"/>
  <c r="U119" i="2" s="1"/>
  <c r="T113" i="2"/>
  <c r="U113" i="2" s="1"/>
  <c r="T101" i="2"/>
  <c r="U101" i="2" s="1"/>
  <c r="T95" i="2"/>
  <c r="U95" i="2" s="1"/>
  <c r="T83" i="2"/>
  <c r="T77" i="2"/>
  <c r="T71" i="2"/>
  <c r="U71" i="2" s="1"/>
  <c r="T65" i="2"/>
  <c r="U65" i="2" s="1"/>
  <c r="K67" i="2"/>
  <c r="L67" i="2" s="1"/>
  <c r="K73" i="2"/>
  <c r="L73" i="2" s="1"/>
  <c r="K79" i="2"/>
  <c r="L79" i="2" s="1"/>
  <c r="K85" i="2"/>
  <c r="L85" i="2" s="1"/>
  <c r="K91" i="2"/>
  <c r="L91" i="2" s="1"/>
  <c r="K97" i="2"/>
  <c r="L97" i="2" s="1"/>
  <c r="K103" i="2"/>
  <c r="L103" i="2" s="1"/>
  <c r="K109" i="2"/>
  <c r="L109" i="2" s="1"/>
  <c r="K115" i="2"/>
  <c r="L115" i="2" s="1"/>
  <c r="K127" i="2"/>
  <c r="O116" i="2"/>
  <c r="F96" i="2"/>
  <c r="J107" i="2"/>
  <c r="J102" i="2"/>
  <c r="L102" i="2" s="1"/>
  <c r="T124" i="2"/>
  <c r="T118" i="2"/>
  <c r="T112" i="2"/>
  <c r="U112" i="2" s="1"/>
  <c r="T106" i="2"/>
  <c r="U106" i="2" s="1"/>
  <c r="T100" i="2"/>
  <c r="U100" i="2" s="1"/>
  <c r="T88" i="2"/>
  <c r="U88" i="2" s="1"/>
  <c r="T82" i="2"/>
  <c r="T76" i="2"/>
  <c r="T70" i="2"/>
  <c r="T64" i="2"/>
  <c r="U64" i="2" s="1"/>
  <c r="K62" i="2"/>
  <c r="L62" i="2" s="1"/>
  <c r="K68" i="2"/>
  <c r="L68" i="2" s="1"/>
  <c r="K74" i="2"/>
  <c r="L74" i="2" s="1"/>
  <c r="K80" i="2"/>
  <c r="L80" i="2" s="1"/>
  <c r="K86" i="2"/>
  <c r="K128" i="2"/>
  <c r="L128" i="2" s="1"/>
  <c r="K111" i="2"/>
  <c r="L111" i="2" s="1"/>
  <c r="T116" i="2"/>
  <c r="U116" i="2" s="1"/>
  <c r="T104" i="2"/>
  <c r="K64" i="2"/>
  <c r="K76" i="2"/>
  <c r="K112" i="2"/>
  <c r="L112" i="2" s="1"/>
  <c r="T98" i="2"/>
  <c r="U98" i="2" s="1"/>
  <c r="T62" i="2"/>
  <c r="K70" i="2"/>
  <c r="L70" i="2" s="1"/>
  <c r="K82" i="2"/>
  <c r="K88" i="2"/>
  <c r="K100" i="2"/>
  <c r="L100" i="2" s="1"/>
  <c r="K106" i="2"/>
  <c r="L106" i="2" s="1"/>
  <c r="T130" i="2"/>
  <c r="U130" i="2" s="1"/>
  <c r="T121" i="2"/>
  <c r="T115" i="2"/>
  <c r="T109" i="2"/>
  <c r="U109" i="2" s="1"/>
  <c r="T103" i="2"/>
  <c r="U103" i="2" s="1"/>
  <c r="T97" i="2"/>
  <c r="U97" i="2" s="1"/>
  <c r="T91" i="2"/>
  <c r="U91" i="2" s="1"/>
  <c r="T85" i="2"/>
  <c r="U85" i="2" s="1"/>
  <c r="T73" i="2"/>
  <c r="U73" i="2" s="1"/>
  <c r="T67" i="2"/>
  <c r="U67" i="2" s="1"/>
  <c r="K71" i="2"/>
  <c r="L71" i="2" s="1"/>
  <c r="K77" i="2"/>
  <c r="L77" i="2" s="1"/>
  <c r="K83" i="2"/>
  <c r="L83" i="2" s="1"/>
  <c r="K89" i="2"/>
  <c r="L89" i="2" s="1"/>
  <c r="K113" i="2"/>
  <c r="L113" i="2" s="1"/>
  <c r="J108" i="2"/>
  <c r="L108" i="2" s="1"/>
  <c r="J90" i="2"/>
  <c r="T126" i="2"/>
  <c r="U126" i="2" s="1"/>
  <c r="T120" i="2"/>
  <c r="U120" i="2" s="1"/>
  <c r="T114" i="2"/>
  <c r="T108" i="2"/>
  <c r="U108" i="2" s="1"/>
  <c r="T102" i="2"/>
  <c r="T96" i="2"/>
  <c r="U96" i="2" s="1"/>
  <c r="T90" i="2"/>
  <c r="U90" i="2" s="1"/>
  <c r="T84" i="2"/>
  <c r="T78" i="2"/>
  <c r="U78" i="2" s="1"/>
  <c r="T72" i="2"/>
  <c r="U72" i="2" s="1"/>
  <c r="T66" i="2"/>
  <c r="U66" i="2" s="1"/>
  <c r="K61" i="2"/>
  <c r="K66" i="2"/>
  <c r="L66" i="2" s="1"/>
  <c r="K72" i="2"/>
  <c r="L72" i="2" s="1"/>
  <c r="K78" i="2"/>
  <c r="L78" i="2" s="1"/>
  <c r="K84" i="2"/>
  <c r="L84" i="2" s="1"/>
  <c r="K96" i="2"/>
  <c r="L96" i="2" s="1"/>
  <c r="K114" i="2"/>
  <c r="L114" i="2" s="1"/>
  <c r="K120" i="2"/>
  <c r="L120" i="2" s="1"/>
  <c r="K126" i="2"/>
  <c r="L126" i="2" s="1"/>
  <c r="L69" i="2"/>
  <c r="T129" i="2"/>
  <c r="U129" i="2" s="1"/>
  <c r="T128" i="2"/>
  <c r="L127" i="2"/>
  <c r="J121" i="2"/>
  <c r="J119" i="2"/>
  <c r="J104" i="2"/>
  <c r="L86" i="2"/>
  <c r="J130" i="2"/>
  <c r="L130" i="2" s="1"/>
  <c r="J125" i="2"/>
  <c r="J118" i="2"/>
  <c r="L118" i="2" s="1"/>
  <c r="J116" i="2"/>
  <c r="J98" i="2"/>
  <c r="L98" i="2" s="1"/>
  <c r="J124" i="2"/>
  <c r="L124" i="2" s="1"/>
  <c r="J122" i="2"/>
  <c r="J110" i="2"/>
  <c r="J92" i="2"/>
  <c r="L88" i="2"/>
  <c r="L82" i="2"/>
  <c r="L76" i="2"/>
  <c r="L64" i="2"/>
  <c r="J61" i="2"/>
  <c r="O104" i="2"/>
  <c r="F99" i="2"/>
  <c r="O80" i="2"/>
  <c r="O76" i="2"/>
  <c r="F63" i="2"/>
  <c r="F114" i="2"/>
  <c r="O108" i="2"/>
  <c r="G87" i="2"/>
  <c r="F64" i="2"/>
  <c r="P129" i="2"/>
  <c r="O98" i="2"/>
  <c r="F77" i="2"/>
  <c r="F117" i="2"/>
  <c r="O90" i="2"/>
  <c r="F70" i="2"/>
  <c r="O64" i="2"/>
  <c r="G126" i="2"/>
  <c r="P91" i="2"/>
  <c r="O86" i="2"/>
  <c r="F79" i="2"/>
  <c r="G123" i="2"/>
  <c r="O120" i="2"/>
  <c r="G118" i="2"/>
  <c r="O114" i="2"/>
  <c r="G112" i="2"/>
  <c r="P109" i="2"/>
  <c r="O93" i="2"/>
  <c r="P88" i="2"/>
  <c r="F81" i="2"/>
  <c r="G75" i="2"/>
  <c r="U83" i="2"/>
  <c r="G129" i="2"/>
  <c r="P106" i="2"/>
  <c r="O102" i="2"/>
  <c r="G100" i="2"/>
  <c r="O96" i="2"/>
  <c r="G72" i="2"/>
  <c r="F68" i="2"/>
  <c r="P65" i="2"/>
  <c r="P125" i="2"/>
  <c r="O124" i="2"/>
  <c r="O105" i="2"/>
  <c r="G94" i="2"/>
  <c r="G91" i="2"/>
  <c r="F90" i="2"/>
  <c r="P82" i="2"/>
  <c r="O81" i="2"/>
  <c r="P79" i="2"/>
  <c r="F71" i="2"/>
  <c r="P107" i="2"/>
  <c r="G73" i="2"/>
  <c r="U102" i="2"/>
  <c r="U84" i="2"/>
  <c r="F122" i="2"/>
  <c r="F120" i="2"/>
  <c r="O111" i="2"/>
  <c r="O110" i="2"/>
  <c r="G103" i="2"/>
  <c r="F102" i="2"/>
  <c r="O87" i="2"/>
  <c r="F76" i="2"/>
  <c r="P68" i="2"/>
  <c r="O67" i="2"/>
  <c r="F61" i="2"/>
  <c r="U128" i="2"/>
  <c r="G124" i="2"/>
  <c r="G105" i="2"/>
  <c r="P89" i="2"/>
  <c r="P70" i="2"/>
  <c r="F130" i="2"/>
  <c r="F127" i="2"/>
  <c r="P118" i="2"/>
  <c r="O117" i="2"/>
  <c r="P115" i="2"/>
  <c r="O113" i="2"/>
  <c r="G109" i="2"/>
  <c r="F108" i="2"/>
  <c r="P100" i="2"/>
  <c r="O99" i="2"/>
  <c r="P97" i="2"/>
  <c r="O92" i="2"/>
  <c r="G85" i="2"/>
  <c r="F84" i="2"/>
  <c r="P77" i="2"/>
  <c r="P74" i="2"/>
  <c r="O73" i="2"/>
  <c r="G66" i="2"/>
  <c r="F65" i="2"/>
  <c r="S125" i="2"/>
  <c r="S107" i="2"/>
  <c r="U93" i="2"/>
  <c r="S89" i="2"/>
  <c r="U110" i="2"/>
  <c r="O128" i="2"/>
  <c r="S127" i="2"/>
  <c r="P119" i="2"/>
  <c r="F113" i="2"/>
  <c r="P110" i="2"/>
  <c r="F104" i="2"/>
  <c r="P101" i="2"/>
  <c r="F95" i="2"/>
  <c r="P92" i="2"/>
  <c r="F86" i="2"/>
  <c r="P83" i="2"/>
  <c r="O78" i="2"/>
  <c r="O69" i="2"/>
  <c r="U123" i="2"/>
  <c r="U121" i="2"/>
  <c r="U114" i="2"/>
  <c r="U87" i="2"/>
  <c r="U75" i="2"/>
  <c r="U62" i="2"/>
  <c r="O123" i="2"/>
  <c r="F121" i="2"/>
  <c r="F116" i="2"/>
  <c r="F107" i="2"/>
  <c r="F98" i="2"/>
  <c r="F89" i="2"/>
  <c r="F80" i="2"/>
  <c r="O72" i="2"/>
  <c r="P62" i="2"/>
  <c r="P61" i="2"/>
  <c r="U118" i="2"/>
  <c r="U104" i="2"/>
  <c r="U86" i="2"/>
  <c r="U82" i="2"/>
  <c r="U77" i="2"/>
  <c r="P122" i="2"/>
  <c r="G115" i="2"/>
  <c r="P112" i="2"/>
  <c r="G106" i="2"/>
  <c r="P103" i="2"/>
  <c r="G97" i="2"/>
  <c r="P94" i="2"/>
  <c r="G88" i="2"/>
  <c r="P85" i="2"/>
  <c r="G78" i="2"/>
  <c r="P71" i="2"/>
  <c r="G69" i="2"/>
  <c r="P130" i="2"/>
  <c r="G128" i="2"/>
  <c r="P127" i="2"/>
  <c r="O126" i="2"/>
  <c r="F119" i="2"/>
  <c r="F110" i="2"/>
  <c r="F101" i="2"/>
  <c r="F92" i="2"/>
  <c r="F83" i="2"/>
  <c r="O75" i="2"/>
  <c r="O66" i="2"/>
  <c r="U124" i="2"/>
  <c r="U115" i="2"/>
  <c r="U81" i="2"/>
  <c r="U79" i="2"/>
  <c r="U76" i="2"/>
  <c r="U70" i="2"/>
  <c r="P63" i="2"/>
  <c r="G62" i="2"/>
  <c r="L104" i="2" l="1"/>
  <c r="L129" i="2"/>
  <c r="L75" i="2"/>
  <c r="L110" i="2"/>
  <c r="L121" i="2"/>
  <c r="L116" i="2"/>
  <c r="L107" i="2"/>
  <c r="L122" i="2"/>
  <c r="L92" i="2"/>
  <c r="L125" i="2"/>
  <c r="L90" i="2"/>
  <c r="L61" i="2"/>
  <c r="U127" i="2"/>
  <c r="U89" i="2"/>
  <c r="U107" i="2"/>
  <c r="U125" i="2"/>
  <c r="G41" i="3"/>
  <c r="N5" i="2" l="1"/>
  <c r="L5" i="2" s="1"/>
  <c r="M5" i="2"/>
  <c r="B20" i="1"/>
  <c r="H18" i="1"/>
  <c r="M7" i="2"/>
  <c r="N7" i="2"/>
  <c r="L7" i="2" s="1"/>
  <c r="B73" i="2"/>
  <c r="B72" i="2"/>
  <c r="B74" i="2" s="1"/>
  <c r="B75" i="2" s="1"/>
  <c r="B21" i="8"/>
  <c r="H19" i="8"/>
  <c r="B67" i="2"/>
  <c r="B69" i="2" s="1"/>
  <c r="E41" i="3"/>
  <c r="B64" i="2" s="1"/>
  <c r="E42" i="3"/>
  <c r="B65" i="2" s="1"/>
  <c r="N6" i="2"/>
  <c r="J6" i="2" s="1"/>
  <c r="M6" i="2"/>
  <c r="K5" i="2" l="1"/>
  <c r="J5" i="2"/>
  <c r="J7" i="2"/>
  <c r="K7" i="2"/>
  <c r="B70" i="2"/>
  <c r="L6" i="2"/>
  <c r="K6" i="2"/>
  <c r="B62" i="2"/>
  <c r="B60" i="2"/>
  <c r="B19" i="3" l="1"/>
  <c r="H17" i="3"/>
  <c r="H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UT601841</author>
  </authors>
  <commentList>
    <comment ref="H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Duplicador = BIS – A – B – C </t>
        </r>
      </text>
    </comment>
    <comment ref="B12" authorId="0" shapeId="0" xr:uid="{00000000-0006-0000-0200-000002000000}">
      <text>
        <r>
          <rPr>
            <b/>
            <sz val="9"/>
            <color indexed="81"/>
            <rFont val="Tahoma"/>
            <charset val="1"/>
          </rPr>
          <t>Coloca los datos necesarios para identificar la ubicación del suministro</t>
        </r>
      </text>
    </comment>
    <comment ref="H2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 xml:space="preserve">Duplicador = BIS – A – B – C </t>
        </r>
      </text>
    </comment>
    <comment ref="H3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Rubro de actividad económica al cual se dedicará el suministro (Vivienda, Comercio de alimentos, Industria metalúrgica).</t>
        </r>
      </text>
    </comment>
    <comment ref="B36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Si ya has realizado un trámite sobre la misma dirección, en condiciones iguales o similares, coloca el número de trámite.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UT601841</author>
  </authors>
  <commentList>
    <comment ref="H1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Duplicador = BIS – A – B – C </t>
        </r>
      </text>
    </comment>
    <comment ref="B1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Coloca los datos necesarios para identificar la ubicación del suministro</t>
        </r>
      </text>
    </comment>
    <comment ref="H2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 xml:space="preserve">Duplicador = BIS – A – B – C </t>
        </r>
      </text>
    </comment>
    <comment ref="B35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Si ya has realizado un trámite sobre la misma dirección, en condiciones iguales o similares, coloca el número de trámite.</t>
        </r>
      </text>
    </comment>
    <comment ref="B44" authorId="0" shapeId="0" xr:uid="{00000000-0006-0000-0300-000005000000}">
      <text>
        <r>
          <rPr>
            <b/>
            <sz val="11"/>
            <color indexed="81"/>
            <rFont val="Calibri"/>
            <family val="2"/>
            <scheme val="minor"/>
          </rPr>
          <t>Indique un número de centralización con el que se agrupara el apartamento.</t>
        </r>
      </text>
    </comment>
    <comment ref="K44" authorId="0" shapeId="0" xr:uid="{00000000-0006-0000-0300-000006000000}">
      <text>
        <r>
          <rPr>
            <b/>
            <sz val="11"/>
            <color indexed="81"/>
            <rFont val="Calibri"/>
            <family val="2"/>
            <scheme val="minor"/>
          </rPr>
          <t>Indique un número de centralización con el que se agrupara el apartamento.</t>
        </r>
      </text>
    </comment>
    <comment ref="I45" authorId="0" shapeId="0" xr:uid="{00000000-0006-0000-0300-000007000000}">
      <text>
        <r>
          <rPr>
            <b/>
            <sz val="11"/>
            <color indexed="81"/>
            <rFont val="Tahoma"/>
            <family val="2"/>
          </rPr>
          <t>Para Doble Contratación de Potencia</t>
        </r>
      </text>
    </comment>
    <comment ref="R45" authorId="0" shapeId="0" xr:uid="{00000000-0006-0000-0300-000008000000}">
      <text>
        <r>
          <rPr>
            <b/>
            <sz val="11"/>
            <color indexed="81"/>
            <rFont val="Tahoma"/>
            <family val="2"/>
          </rPr>
          <t>Para Doble Contratación de Potencia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UT601841</author>
  </authors>
  <commentList>
    <comment ref="B11" authorId="0" shapeId="0" xr:uid="{00000000-0006-0000-0400-000001000000}">
      <text>
        <r>
          <rPr>
            <b/>
            <sz val="11"/>
            <color indexed="81"/>
            <rFont val="Calibri"/>
            <family val="2"/>
            <scheme val="minor"/>
          </rPr>
          <t>Indique un número de centralización con el que se agrupara el apartamento.</t>
        </r>
      </text>
    </comment>
    <comment ref="K11" authorId="0" shapeId="0" xr:uid="{00000000-0006-0000-0400-000002000000}">
      <text>
        <r>
          <rPr>
            <b/>
            <sz val="11"/>
            <color indexed="81"/>
            <rFont val="Calibri"/>
            <family val="2"/>
            <scheme val="minor"/>
          </rPr>
          <t>Indique un número de centralización con el que se agrupara el apartamento.</t>
        </r>
      </text>
    </comment>
    <comment ref="I12" authorId="0" shapeId="0" xr:uid="{00000000-0006-0000-0400-000003000000}">
      <text>
        <r>
          <rPr>
            <b/>
            <sz val="11"/>
            <color indexed="81"/>
            <rFont val="Tahoma"/>
            <family val="2"/>
          </rPr>
          <t>Para Doble Contratación de Potencia</t>
        </r>
      </text>
    </comment>
    <comment ref="R12" authorId="0" shapeId="0" xr:uid="{00000000-0006-0000-0400-000004000000}">
      <text>
        <r>
          <rPr>
            <b/>
            <sz val="11"/>
            <color indexed="81"/>
            <rFont val="Tahoma"/>
            <family val="2"/>
          </rPr>
          <t>Para Doble Contratación de Potencia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UT601841</author>
  </authors>
  <commentList>
    <comment ref="H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Duplicador = BIS – A – B – C </t>
        </r>
      </text>
    </comment>
    <comment ref="B12" authorId="0" shapeId="0" xr:uid="{00000000-0006-0000-0500-000002000000}">
      <text>
        <r>
          <rPr>
            <b/>
            <sz val="9"/>
            <color indexed="81"/>
            <rFont val="Tahoma"/>
            <charset val="1"/>
          </rPr>
          <t>Coloca los datos necesarios para identificar la ubicación del suministro</t>
        </r>
      </text>
    </comment>
  </commentList>
</comments>
</file>

<file path=xl/sharedStrings.xml><?xml version="1.0" encoding="utf-8"?>
<sst xmlns="http://schemas.openxmlformats.org/spreadsheetml/2006/main" count="325" uniqueCount="197">
  <si>
    <t>Formulario solicitud de suministro</t>
  </si>
  <si>
    <t>Calle</t>
  </si>
  <si>
    <t>nro. de puerta</t>
  </si>
  <si>
    <t>Apartamento</t>
  </si>
  <si>
    <t>Departamento</t>
  </si>
  <si>
    <t>Localidad</t>
  </si>
  <si>
    <t>Nombre</t>
  </si>
  <si>
    <t>Apellido</t>
  </si>
  <si>
    <t>Cedula / RUT</t>
  </si>
  <si>
    <t>DATOS DEL SUMINISTRO</t>
  </si>
  <si>
    <t>Aviso de Acceso</t>
  </si>
  <si>
    <t>Observaciones</t>
  </si>
  <si>
    <t>Pasa Linea</t>
  </si>
  <si>
    <t>Acometida</t>
  </si>
  <si>
    <t>Requerimiento</t>
  </si>
  <si>
    <t>Actividad</t>
  </si>
  <si>
    <t xml:space="preserve">Tipo de Solicitud </t>
  </si>
  <si>
    <t>Definitiva</t>
  </si>
  <si>
    <t>Estimativa</t>
  </si>
  <si>
    <t>Si</t>
  </si>
  <si>
    <t>No</t>
  </si>
  <si>
    <t>Presupuesto</t>
  </si>
  <si>
    <t>Descentralizado</t>
  </si>
  <si>
    <t>Tarifa</t>
  </si>
  <si>
    <t>Potencia en Punta-Llano</t>
  </si>
  <si>
    <t>Potencia en Valle</t>
  </si>
  <si>
    <t>Potencia</t>
  </si>
  <si>
    <t>Nro. de apartamento</t>
  </si>
  <si>
    <t>Desea recibir las notificaciones en esta direccion</t>
  </si>
  <si>
    <t>DATOS DEL CLIENTE</t>
  </si>
  <si>
    <t>Dirección de envío de notificaciones</t>
  </si>
  <si>
    <t>DATOS TÉCNICOS DE LA SOLICITUD</t>
  </si>
  <si>
    <t>Trámite</t>
  </si>
  <si>
    <t>Trámite asociado</t>
  </si>
  <si>
    <t>Certificado de carga</t>
  </si>
  <si>
    <t>Nuevo Servicio</t>
  </si>
  <si>
    <t>Aumento</t>
  </si>
  <si>
    <t>Reducción</t>
  </si>
  <si>
    <t>Tensión suministro</t>
  </si>
  <si>
    <t>Potencia solicitada</t>
  </si>
  <si>
    <t>Fases</t>
  </si>
  <si>
    <t>Instalada en calefacción</t>
  </si>
  <si>
    <t>La instalación incluye alguna carga perturbadora o sensible</t>
  </si>
  <si>
    <t>Duplicador</t>
  </si>
  <si>
    <t>Nro. de puerta</t>
  </si>
  <si>
    <t>Telefono de contacto</t>
  </si>
  <si>
    <t>Email</t>
  </si>
  <si>
    <t>Nro</t>
  </si>
  <si>
    <t>Residencial</t>
  </si>
  <si>
    <t>General</t>
  </si>
  <si>
    <t>Tensión</t>
  </si>
  <si>
    <t>Tipo de Solicitud Individual</t>
  </si>
  <si>
    <t>Destino del suministro</t>
  </si>
  <si>
    <t>Artigas</t>
  </si>
  <si>
    <t>Canelones</t>
  </si>
  <si>
    <t>Cerro Largo</t>
  </si>
  <si>
    <t>Colonia</t>
  </si>
  <si>
    <t>Durazno</t>
  </si>
  <si>
    <t>Flores</t>
  </si>
  <si>
    <t>Florida</t>
  </si>
  <si>
    <t>Lavalleja</t>
  </si>
  <si>
    <t>Maldonado</t>
  </si>
  <si>
    <t>Montevideo</t>
  </si>
  <si>
    <t>Paysandú</t>
  </si>
  <si>
    <t>Río Negro</t>
  </si>
  <si>
    <t>Rivera</t>
  </si>
  <si>
    <t>Rocha</t>
  </si>
  <si>
    <t>Salto</t>
  </si>
  <si>
    <t>San José</t>
  </si>
  <si>
    <t>Soriano</t>
  </si>
  <si>
    <t>Tacuarembó</t>
  </si>
  <si>
    <t>Treinta y Tres</t>
  </si>
  <si>
    <t>¿Desea recibir notificaciones en esta dirección?</t>
  </si>
  <si>
    <t>Rehabilitación</t>
  </si>
  <si>
    <t>No Declara</t>
  </si>
  <si>
    <t>Subterránea</t>
  </si>
  <si>
    <t>Aérea</t>
  </si>
  <si>
    <t>Informe Técnico</t>
  </si>
  <si>
    <t>Informe Técnico y Presupuesto</t>
  </si>
  <si>
    <t>Centralizado</t>
  </si>
  <si>
    <t>Monofásica</t>
  </si>
  <si>
    <t>Trifásica</t>
  </si>
  <si>
    <t>Al finalizar guardar el archivo y adjuntar en el formulario del portal.</t>
  </si>
  <si>
    <r>
      <t>Departamento</t>
    </r>
    <r>
      <rPr>
        <b/>
        <sz val="12"/>
        <color rgb="FFFF0000"/>
        <rFont val="Calibri"/>
        <family val="2"/>
      </rPr>
      <t xml:space="preserve">  *</t>
    </r>
  </si>
  <si>
    <r>
      <t xml:space="preserve">Calle </t>
    </r>
    <r>
      <rPr>
        <b/>
        <sz val="12"/>
        <color rgb="FFFF0000"/>
        <rFont val="Calibri"/>
        <family val="2"/>
      </rPr>
      <t xml:space="preserve"> *</t>
    </r>
  </si>
  <si>
    <r>
      <t xml:space="preserve">Localidad  </t>
    </r>
    <r>
      <rPr>
        <b/>
        <sz val="12"/>
        <color rgb="FFFF0000"/>
        <rFont val="Calibri"/>
        <family val="2"/>
      </rPr>
      <t>*</t>
    </r>
  </si>
  <si>
    <r>
      <t xml:space="preserve">Nro. de puerta  </t>
    </r>
    <r>
      <rPr>
        <b/>
        <sz val="12"/>
        <color rgb="FFFF0000"/>
        <rFont val="Calibri"/>
        <family val="2"/>
      </rPr>
      <t>*</t>
    </r>
  </si>
  <si>
    <r>
      <t xml:space="preserve">¿Desea recibir las notificaciones en esta dirección?  </t>
    </r>
    <r>
      <rPr>
        <b/>
        <sz val="12"/>
        <color rgb="FFFF0000"/>
        <rFont val="Calibri"/>
        <family val="2"/>
      </rPr>
      <t>*</t>
    </r>
  </si>
  <si>
    <r>
      <t xml:space="preserve">Email  </t>
    </r>
    <r>
      <rPr>
        <b/>
        <sz val="12"/>
        <color rgb="FFFF0000"/>
        <rFont val="Calibri"/>
        <family val="2"/>
      </rPr>
      <t>*</t>
    </r>
  </si>
  <si>
    <r>
      <t xml:space="preserve">Tipo de Solicitud Individual  </t>
    </r>
    <r>
      <rPr>
        <b/>
        <sz val="12"/>
        <color rgb="FFFF0000"/>
        <rFont val="Calibri"/>
        <family val="2"/>
      </rPr>
      <t>*</t>
    </r>
  </si>
  <si>
    <r>
      <t xml:space="preserve">Pasa Línea  </t>
    </r>
    <r>
      <rPr>
        <b/>
        <sz val="12"/>
        <color rgb="FFFF0000"/>
        <rFont val="Calibri"/>
        <family val="2"/>
      </rPr>
      <t>*</t>
    </r>
  </si>
  <si>
    <r>
      <t xml:space="preserve">Acometida  </t>
    </r>
    <r>
      <rPr>
        <b/>
        <sz val="12"/>
        <color rgb="FFFF0000"/>
        <rFont val="Calibri"/>
        <family val="2"/>
      </rPr>
      <t>*</t>
    </r>
  </si>
  <si>
    <r>
      <t xml:space="preserve">Trámite  </t>
    </r>
    <r>
      <rPr>
        <b/>
        <sz val="12"/>
        <color rgb="FFFF0000"/>
        <rFont val="Calibri"/>
        <family val="2"/>
      </rPr>
      <t>*</t>
    </r>
  </si>
  <si>
    <r>
      <t xml:space="preserve">Actividad  </t>
    </r>
    <r>
      <rPr>
        <b/>
        <sz val="12"/>
        <color rgb="FFFF0000"/>
        <rFont val="Calibri"/>
        <family val="2"/>
      </rPr>
      <t>*</t>
    </r>
  </si>
  <si>
    <r>
      <t xml:space="preserve">Tensión suministro  </t>
    </r>
    <r>
      <rPr>
        <b/>
        <sz val="12"/>
        <color rgb="FFFF0000"/>
        <rFont val="Calibri"/>
        <family val="2"/>
      </rPr>
      <t>*</t>
    </r>
  </si>
  <si>
    <r>
      <t xml:space="preserve">Tarifa  </t>
    </r>
    <r>
      <rPr>
        <b/>
        <sz val="12"/>
        <color rgb="FFFF0000"/>
        <rFont val="Calibri"/>
        <family val="2"/>
      </rPr>
      <t>*</t>
    </r>
  </si>
  <si>
    <r>
      <t xml:space="preserve">Fases  </t>
    </r>
    <r>
      <rPr>
        <b/>
        <sz val="12"/>
        <color rgb="FFFF0000"/>
        <rFont val="Calibri"/>
        <family val="2"/>
      </rPr>
      <t>*</t>
    </r>
  </si>
  <si>
    <r>
      <t xml:space="preserve">Potencia solicitada  </t>
    </r>
    <r>
      <rPr>
        <b/>
        <sz val="12"/>
        <color rgb="FFFF0000"/>
        <rFont val="Calibri"/>
        <family val="2"/>
      </rPr>
      <t>*</t>
    </r>
  </si>
  <si>
    <r>
      <t xml:space="preserve">Certificado de carga  </t>
    </r>
    <r>
      <rPr>
        <b/>
        <sz val="12"/>
        <color rgb="FFFF0000"/>
        <rFont val="Calibri"/>
        <family val="2"/>
      </rPr>
      <t>*</t>
    </r>
  </si>
  <si>
    <r>
      <t xml:space="preserve">Instalada en calefacción  </t>
    </r>
    <r>
      <rPr>
        <b/>
        <sz val="12"/>
        <color rgb="FFFF0000"/>
        <rFont val="Calibri"/>
        <family val="2"/>
      </rPr>
      <t>*</t>
    </r>
  </si>
  <si>
    <r>
      <t xml:space="preserve">La instalación incluye alguna carga perturbadora o sensible  </t>
    </r>
    <r>
      <rPr>
        <b/>
        <sz val="11"/>
        <color rgb="FFFF0000"/>
        <rFont val="Calibri"/>
        <family val="2"/>
      </rPr>
      <t>*</t>
    </r>
  </si>
  <si>
    <t>Si se necesitan mas suministros insertar fila.</t>
  </si>
  <si>
    <r>
      <t xml:space="preserve">Tipo de Solicitud Colectiva  </t>
    </r>
    <r>
      <rPr>
        <b/>
        <sz val="12"/>
        <color rgb="FFFF0000"/>
        <rFont val="Calibri"/>
        <family val="2"/>
      </rPr>
      <t>*</t>
    </r>
  </si>
  <si>
    <r>
      <t xml:space="preserve">Agregar centralización  </t>
    </r>
    <r>
      <rPr>
        <b/>
        <i/>
        <sz val="14"/>
        <color rgb="FFFF0000"/>
        <rFont val="Calibri"/>
        <family val="2"/>
        <scheme val="minor"/>
      </rPr>
      <t>*</t>
    </r>
  </si>
  <si>
    <r>
      <t xml:space="preserve">Agrega Servicio descentralizado  </t>
    </r>
    <r>
      <rPr>
        <b/>
        <i/>
        <sz val="14"/>
        <color rgb="FFFF0000"/>
        <rFont val="Calibri"/>
        <family val="2"/>
        <scheme val="minor"/>
      </rPr>
      <t>*</t>
    </r>
  </si>
  <si>
    <t>Solicitud de Consulta Colectiva</t>
  </si>
  <si>
    <t>Solicitud de Servicio Colectivo</t>
  </si>
  <si>
    <t>Solicitud Instalación de Enlace</t>
  </si>
  <si>
    <t>Provisorio Obra</t>
  </si>
  <si>
    <t>Padrón / Nro. Medidor vecino</t>
  </si>
  <si>
    <t>* Ejemplo: Coordenadas del servicio.</t>
  </si>
  <si>
    <t>Fraccionamiento</t>
  </si>
  <si>
    <r>
      <t xml:space="preserve">* </t>
    </r>
    <r>
      <rPr>
        <b/>
        <sz val="11"/>
        <rFont val="Calibri"/>
        <family val="2"/>
        <scheme val="minor"/>
      </rPr>
      <t>Campo Obligatorio</t>
    </r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</si>
  <si>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color theme="1"/>
        <rFont val="Calibri"/>
        <family val="2"/>
        <scheme val="minor"/>
      </rPr>
      <t>Campo Obligatorio</t>
    </r>
  </si>
  <si>
    <r>
      <t xml:space="preserve">Aviso de Acceso / Esquina </t>
    </r>
    <r>
      <rPr>
        <b/>
        <u/>
        <sz val="12"/>
        <color rgb="FFFF0000"/>
        <rFont val="Calibri"/>
        <family val="2"/>
        <charset val="1"/>
      </rPr>
      <t>*</t>
    </r>
  </si>
  <si>
    <r>
      <t xml:space="preserve">Documento  </t>
    </r>
    <r>
      <rPr>
        <b/>
        <sz val="12"/>
        <color rgb="FFFF0000"/>
        <rFont val="Calibri"/>
        <family val="2"/>
      </rPr>
      <t>*</t>
    </r>
  </si>
  <si>
    <r>
      <t xml:space="preserve">Nro  </t>
    </r>
    <r>
      <rPr>
        <b/>
        <sz val="12"/>
        <color rgb="FFFF0000"/>
        <rFont val="Calibri"/>
        <family val="2"/>
      </rPr>
      <t>*</t>
    </r>
  </si>
  <si>
    <t>CI</t>
  </si>
  <si>
    <t>RUT</t>
  </si>
  <si>
    <t>Otros</t>
  </si>
  <si>
    <t xml:space="preserve"> *</t>
  </si>
  <si>
    <t>*</t>
  </si>
  <si>
    <t>Colectiva</t>
  </si>
  <si>
    <t>RUT LARGO</t>
  </si>
  <si>
    <t>CI 7 LARGO</t>
  </si>
  <si>
    <t>CI 8 LARGO</t>
  </si>
  <si>
    <t>Individual</t>
  </si>
  <si>
    <t>OTROS</t>
  </si>
  <si>
    <t>VALIDACIONES PARA FORMATO CLIENTE</t>
  </si>
  <si>
    <t>Para obligatorios *</t>
  </si>
  <si>
    <t>Caracteres indicados</t>
  </si>
  <si>
    <t>Tramites: Solicitud individual</t>
  </si>
  <si>
    <t>Pasa Línea (ambras)</t>
  </si>
  <si>
    <t>Documento (ambas)</t>
  </si>
  <si>
    <t>Acometida (ambas)</t>
  </si>
  <si>
    <t>Tarifa (ambas)</t>
  </si>
  <si>
    <t>Requerimiento (ambas)</t>
  </si>
  <si>
    <t>Tipo de Medida (ambas)</t>
  </si>
  <si>
    <t>Destino suministro (ambas)</t>
  </si>
  <si>
    <t>Niveles de tensión (ambas)</t>
  </si>
  <si>
    <t>Fases (ambas)</t>
  </si>
  <si>
    <t>230 V</t>
  </si>
  <si>
    <t>400 V</t>
  </si>
  <si>
    <t>6,4 KV</t>
  </si>
  <si>
    <t>15 KV</t>
  </si>
  <si>
    <t>22 KV</t>
  </si>
  <si>
    <t>31,5 KV</t>
  </si>
  <si>
    <t>63 KV</t>
  </si>
  <si>
    <t>Check asterisco notificacion</t>
  </si>
  <si>
    <r>
      <t>Aviso de Acceso / Esquina</t>
    </r>
    <r>
      <rPr>
        <b/>
        <sz val="12"/>
        <color theme="4" tint="-0.499984740745262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*</t>
    </r>
  </si>
  <si>
    <t>Residencial Simple</t>
  </si>
  <si>
    <t>Residencial Doble</t>
  </si>
  <si>
    <t>Residencial Triple</t>
  </si>
  <si>
    <t>General Simple</t>
  </si>
  <si>
    <t>General Hora Estacional</t>
  </si>
  <si>
    <t>Zafra Estival</t>
  </si>
  <si>
    <t>Grandes Consumidores</t>
  </si>
  <si>
    <t>Medianos Consumidores</t>
  </si>
  <si>
    <t>Potencia excepcional</t>
  </si>
  <si>
    <t>Potencia Monofasico</t>
  </si>
  <si>
    <t>Mayor a 40 KW</t>
  </si>
  <si>
    <t>Potencia trifasico</t>
  </si>
  <si>
    <t>Individual (potencia excepc)</t>
  </si>
  <si>
    <t>Individual Doble potencia</t>
  </si>
  <si>
    <t>Si/No</t>
  </si>
  <si>
    <t>Doble contratación de Potencia</t>
  </si>
  <si>
    <t>La persona ya es titular del suministro actualmente:</t>
  </si>
  <si>
    <t>Documento</t>
  </si>
  <si>
    <t>Colectiva Doble potencia</t>
  </si>
  <si>
    <t>Reco - titular *</t>
  </si>
  <si>
    <t>Reco</t>
  </si>
  <si>
    <t>Letra chica</t>
  </si>
  <si>
    <t>Sólo para refugios peatonales, cabinas telefónicas, WLL, WiFi, cámaras de vigilancia y similares.</t>
  </si>
  <si>
    <t>Sólo para servicios generales en edificios de hasta tres plantas, pequeños kioscos, garitas.</t>
  </si>
  <si>
    <t>Sólo para suministros rurales MRT</t>
  </si>
  <si>
    <t>Provisorio General *</t>
  </si>
  <si>
    <r>
      <t xml:space="preserve">Cuenta </t>
    </r>
    <r>
      <rPr>
        <b/>
        <sz val="12"/>
        <color rgb="FFFF0000"/>
        <rFont val="Calibri"/>
        <family val="2"/>
      </rPr>
      <t>*</t>
    </r>
  </si>
  <si>
    <t>Potencia en Punta - Llano</t>
  </si>
  <si>
    <t>VALIDACION COLECTIVA</t>
  </si>
  <si>
    <t>Para formato</t>
  </si>
  <si>
    <t>Mono + excep</t>
  </si>
  <si>
    <t>Potencia Punta - Llano</t>
  </si>
  <si>
    <t>Potencia (Máx)</t>
  </si>
  <si>
    <r>
      <t xml:space="preserve">Tipo puesta de medida </t>
    </r>
    <r>
      <rPr>
        <b/>
        <sz val="12"/>
        <color rgb="FFFF0000"/>
        <rFont val="Calibri"/>
        <family val="2"/>
      </rPr>
      <t>*</t>
    </r>
  </si>
  <si>
    <t>Para doble contratacion</t>
  </si>
  <si>
    <r>
      <t xml:space="preserve">Agregar centralización  </t>
    </r>
    <r>
      <rPr>
        <b/>
        <sz val="14"/>
        <color rgb="FFFF0000"/>
        <rFont val="Calibri"/>
        <family val="2"/>
        <scheme val="minor"/>
      </rPr>
      <t>*</t>
    </r>
  </si>
  <si>
    <r>
      <t xml:space="preserve">Agrega Servicio descentralizado  </t>
    </r>
    <r>
      <rPr>
        <b/>
        <sz val="14"/>
        <color rgb="FFFF0000"/>
        <rFont val="Calibri"/>
        <family val="2"/>
        <scheme val="minor"/>
      </rPr>
      <t>*</t>
    </r>
  </si>
  <si>
    <t>Ultima columna</t>
  </si>
  <si>
    <t>Si necesita más servicios de los que puede ingresar en el siguiente cuadro (70), entrar aquí.</t>
  </si>
  <si>
    <r>
      <t xml:space="preserve">Aviso de Acceso / Esquina </t>
    </r>
    <r>
      <rPr>
        <b/>
        <sz val="12"/>
        <color rgb="FFFF0000"/>
        <rFont val="Calibri"/>
        <family val="2"/>
        <charset val="1"/>
      </rPr>
      <t>*</t>
    </r>
  </si>
  <si>
    <r>
      <t xml:space="preserve">Teléfono de contacto  </t>
    </r>
    <r>
      <rPr>
        <b/>
        <sz val="12"/>
        <color rgb="FFFF0000"/>
        <rFont val="Calibri"/>
        <family val="2"/>
      </rPr>
      <t>*</t>
    </r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</si>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</sst>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\k\W"/>
    <numFmt numFmtId="165" formatCode="General\ \K\W"/>
    <numFmt numFmtId="166" formatCode="0.0"/>
  </numFmts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1"/>
    </font>
    <font>
      <b/>
      <sz val="11"/>
      <color theme="4" tint="-0.499984740745262"/>
      <name val="Calibri"/>
      <family val="2"/>
      <charset val="1"/>
    </font>
    <font>
      <b/>
      <sz val="11"/>
      <color theme="5"/>
      <name val="Calibri"/>
      <family val="2"/>
      <charset val="1"/>
    </font>
    <font>
      <sz val="11"/>
      <name val="Calibri"/>
      <family val="2"/>
      <charset val="1"/>
      <scheme val="minor"/>
    </font>
    <font>
      <b/>
      <sz val="11"/>
      <color indexed="81"/>
      <name val="Calibri"/>
      <family val="2"/>
      <scheme val="minor"/>
    </font>
    <font>
      <b/>
      <sz val="14"/>
      <color theme="0"/>
      <name val="Calibri"/>
      <family val="2"/>
      <charset val="1"/>
    </font>
    <font>
      <sz val="11"/>
      <color theme="1" tint="0.14999847407452621"/>
      <name val="Calibri"/>
      <family val="2"/>
      <charset val="1"/>
      <scheme val="minor"/>
    </font>
    <font>
      <sz val="11"/>
      <color theme="4" tint="-0.499984740745262"/>
      <name val="Calibri"/>
      <family val="2"/>
      <charset val="1"/>
      <scheme val="minor"/>
    </font>
    <font>
      <sz val="12"/>
      <color theme="4" tint="-0.499984740745262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u/>
      <sz val="14"/>
      <color theme="3"/>
      <name val="Calibri"/>
      <family val="2"/>
    </font>
    <font>
      <b/>
      <sz val="12"/>
      <color theme="4" tint="-0.499984740745262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1" tint="0.14999847407452621"/>
      <name val="Calibri"/>
      <family val="2"/>
      <charset val="1"/>
      <scheme val="minor"/>
    </font>
    <font>
      <b/>
      <sz val="14"/>
      <color theme="0"/>
      <name val="Calibri"/>
      <family val="2"/>
    </font>
    <font>
      <b/>
      <i/>
      <sz val="12"/>
      <color theme="4" tint="-0.499984740745262"/>
      <name val="Calibri"/>
      <family val="2"/>
      <scheme val="minor"/>
    </font>
    <font>
      <b/>
      <i/>
      <sz val="14"/>
      <color theme="4" tint="-0.49998474074526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4" tint="-0.499984740745262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b/>
      <i/>
      <sz val="1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b/>
      <u/>
      <sz val="12"/>
      <color theme="4" tint="-0.499984740745262"/>
      <name val="Calibri"/>
      <family val="2"/>
      <charset val="1"/>
    </font>
    <font>
      <b/>
      <u/>
      <sz val="12"/>
      <color rgb="FFFF0000"/>
      <name val="Calibri"/>
      <family val="2"/>
      <charset val="1"/>
    </font>
    <font>
      <b/>
      <sz val="9"/>
      <color indexed="81"/>
      <name val="Tahoma"/>
      <charset val="1"/>
    </font>
    <font>
      <b/>
      <sz val="12"/>
      <color rgb="FFFF0000"/>
      <name val="Calibri"/>
      <family val="2"/>
      <charset val="1"/>
    </font>
    <font>
      <sz val="11"/>
      <name val="Calibri"/>
      <family val="2"/>
      <scheme val="minor"/>
    </font>
    <font>
      <b/>
      <sz val="11"/>
      <color theme="0"/>
      <name val="Calibri"/>
      <family val="2"/>
      <charset val="1"/>
    </font>
    <font>
      <sz val="11"/>
      <color theme="0"/>
      <name val="Calibri"/>
      <family val="2"/>
      <charset val="1"/>
      <scheme val="minor"/>
    </font>
    <font>
      <b/>
      <sz val="12"/>
      <color theme="4" tint="-0.499984740745262"/>
      <name val="Calibri"/>
      <family val="2"/>
    </font>
    <font>
      <sz val="12"/>
      <color theme="1" tint="0.14999847407452621"/>
      <name val="Calibri"/>
      <family val="2"/>
      <scheme val="minor"/>
    </font>
    <font>
      <sz val="11"/>
      <color rgb="FFFF0000"/>
      <name val="Courier New"/>
      <family val="3"/>
    </font>
    <font>
      <i/>
      <sz val="11"/>
      <color theme="3" tint="-0.249977111117893"/>
      <name val="Calibri"/>
      <family val="2"/>
      <scheme val="minor"/>
    </font>
    <font>
      <b/>
      <sz val="11"/>
      <color indexed="81"/>
      <name val="Tahoma"/>
      <family val="2"/>
    </font>
    <font>
      <b/>
      <sz val="14"/>
      <color theme="4" tint="-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4"/>
      <color theme="1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B9CDE5"/>
        <bgColor rgb="FFC0C0C0"/>
      </patternFill>
    </fill>
    <fill>
      <patternFill patternType="solid">
        <fgColor theme="4" tint="-0.249977111117893"/>
        <bgColor rgb="FFC0C0C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/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/>
      <diagonal/>
    </border>
    <border>
      <left/>
      <right style="thin">
        <color theme="1" tint="0.34998626667073579"/>
      </right>
      <top/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medium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/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medium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/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/>
      <top style="hair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3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4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/>
    </xf>
    <xf numFmtId="0" fontId="6" fillId="0" borderId="0" xfId="0" applyFont="1"/>
    <xf numFmtId="0" fontId="18" fillId="0" borderId="0" xfId="0" applyFont="1"/>
    <xf numFmtId="0" fontId="12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7" fillId="0" borderId="0" xfId="0" applyFont="1"/>
    <xf numFmtId="0" fontId="27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0" fillId="5" borderId="0" xfId="0" applyFill="1"/>
    <xf numFmtId="0" fontId="28" fillId="0" borderId="0" xfId="0" applyFont="1"/>
    <xf numFmtId="0" fontId="29" fillId="4" borderId="24" xfId="0" applyFont="1" applyFill="1" applyBorder="1" applyAlignment="1">
      <alignment horizontal="center" vertical="center" wrapText="1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  <xf numFmtId="0" fontId="17" fillId="0" borderId="0" xfId="0" applyFont="1" applyAlignment="1">
      <alignment horizontal="left" vertical="center" indent="1"/>
    </xf>
    <xf numFmtId="0" fontId="25" fillId="0" borderId="0" xfId="0" applyFont="1" applyAlignment="1">
      <alignment horizontal="left" vertical="center" indent="1"/>
    </xf>
    <xf numFmtId="0" fontId="0" fillId="0" borderId="0" xfId="0" applyProtection="1">
      <protection locked="0"/>
    </xf>
    <xf numFmtId="0" fontId="34" fillId="0" borderId="0" xfId="0" applyFont="1"/>
    <xf numFmtId="0" fontId="35" fillId="0" borderId="0" xfId="0" applyFont="1"/>
    <xf numFmtId="0" fontId="36" fillId="0" borderId="0" xfId="0" applyFont="1"/>
    <xf numFmtId="0" fontId="36" fillId="0" borderId="0" xfId="0" applyFont="1" applyAlignment="1">
      <alignment wrapText="1"/>
    </xf>
    <xf numFmtId="0" fontId="1" fillId="0" borderId="0" xfId="0" applyFont="1"/>
    <xf numFmtId="0" fontId="37" fillId="0" borderId="0" xfId="0" applyFont="1"/>
    <xf numFmtId="0" fontId="40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 indent="1"/>
    </xf>
    <xf numFmtId="0" fontId="46" fillId="7" borderId="36" xfId="0" applyFont="1" applyFill="1" applyBorder="1"/>
    <xf numFmtId="0" fontId="0" fillId="0" borderId="36" xfId="0" applyBorder="1"/>
    <xf numFmtId="0" fontId="0" fillId="0" borderId="37" xfId="0" applyBorder="1"/>
    <xf numFmtId="0" fontId="45" fillId="6" borderId="36" xfId="0" applyFont="1" applyFill="1" applyBorder="1"/>
    <xf numFmtId="0" fontId="0" fillId="8" borderId="0" xfId="0" applyFill="1"/>
    <xf numFmtId="0" fontId="34" fillId="6" borderId="36" xfId="0" applyFont="1" applyFill="1" applyBorder="1"/>
    <xf numFmtId="0" fontId="44" fillId="0" borderId="36" xfId="0" applyFont="1" applyBorder="1" applyAlignment="1">
      <alignment horizontal="left" vertical="center"/>
    </xf>
    <xf numFmtId="0" fontId="34" fillId="7" borderId="36" xfId="0" applyFont="1" applyFill="1" applyBorder="1"/>
    <xf numFmtId="0" fontId="0" fillId="0" borderId="38" xfId="0" applyBorder="1"/>
    <xf numFmtId="0" fontId="8" fillId="0" borderId="0" xfId="0" applyFont="1" applyAlignment="1">
      <alignment horizontal="center"/>
    </xf>
    <xf numFmtId="0" fontId="22" fillId="0" borderId="34" xfId="0" applyFont="1" applyBorder="1" applyAlignment="1">
      <alignment vertical="center"/>
    </xf>
    <xf numFmtId="0" fontId="8" fillId="0" borderId="0" xfId="0" applyFont="1"/>
    <xf numFmtId="0" fontId="49" fillId="0" borderId="0" xfId="0" applyFont="1"/>
    <xf numFmtId="164" fontId="25" fillId="0" borderId="0" xfId="0" applyNumberFormat="1" applyFont="1" applyAlignment="1" applyProtection="1">
      <alignment horizontal="left" vertical="center" indent="1"/>
      <protection locked="0"/>
    </xf>
    <xf numFmtId="164" fontId="25" fillId="0" borderId="0" xfId="0" applyNumberFormat="1" applyFont="1" applyAlignment="1" applyProtection="1">
      <alignment horizontal="center" vertical="center"/>
      <protection locked="0"/>
    </xf>
    <xf numFmtId="165" fontId="0" fillId="0" borderId="36" xfId="0" applyNumberFormat="1" applyBorder="1" applyAlignment="1">
      <alignment horizontal="left"/>
    </xf>
    <xf numFmtId="165" fontId="0" fillId="0" borderId="37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36" xfId="0" applyBorder="1" applyAlignment="1">
      <alignment horizontal="left"/>
    </xf>
    <xf numFmtId="0" fontId="0" fillId="0" borderId="38" xfId="0" applyBorder="1" applyAlignment="1">
      <alignment horizontal="left"/>
    </xf>
    <xf numFmtId="165" fontId="29" fillId="0" borderId="0" xfId="0" applyNumberFormat="1" applyFont="1" applyAlignment="1">
      <alignment horizontal="left" vertical="center" indent="1"/>
    </xf>
    <xf numFmtId="0" fontId="25" fillId="0" borderId="14" xfId="0" applyFont="1" applyBorder="1" applyAlignment="1" applyProtection="1">
      <alignment horizontal="center" vertical="center"/>
      <protection locked="0"/>
    </xf>
    <xf numFmtId="0" fontId="30" fillId="0" borderId="0" xfId="0" applyFont="1" applyAlignment="1">
      <alignment horizontal="center" vertical="center"/>
    </xf>
    <xf numFmtId="0" fontId="22" fillId="0" borderId="0" xfId="0" applyFont="1" applyAlignment="1">
      <alignment vertical="top"/>
    </xf>
    <xf numFmtId="49" fontId="17" fillId="0" borderId="14" xfId="0" applyNumberFormat="1" applyFont="1" applyBorder="1" applyAlignment="1" applyProtection="1">
      <alignment horizontal="left" vertical="center" indent="1"/>
      <protection locked="0"/>
    </xf>
    <xf numFmtId="0" fontId="50" fillId="0" borderId="0" xfId="0" applyFont="1" applyAlignment="1">
      <alignment horizontal="left" vertical="center" indent="1"/>
    </xf>
    <xf numFmtId="166" fontId="0" fillId="0" borderId="0" xfId="0" applyNumberFormat="1"/>
    <xf numFmtId="165" fontId="48" fillId="0" borderId="0" xfId="0" applyNumberFormat="1" applyFont="1" applyAlignment="1">
      <alignment horizontal="left" vertical="center" indent="1"/>
    </xf>
    <xf numFmtId="49" fontId="0" fillId="0" borderId="40" xfId="0" applyNumberFormat="1" applyBorder="1" applyProtection="1">
      <protection locked="0"/>
    </xf>
    <xf numFmtId="49" fontId="0" fillId="0" borderId="41" xfId="0" applyNumberFormat="1" applyBorder="1" applyProtection="1">
      <protection locked="0"/>
    </xf>
    <xf numFmtId="49" fontId="0" fillId="0" borderId="42" xfId="0" applyNumberFormat="1" applyBorder="1" applyProtection="1">
      <protection locked="0"/>
    </xf>
    <xf numFmtId="0" fontId="29" fillId="4" borderId="39" xfId="0" applyFont="1" applyFill="1" applyBorder="1" applyAlignment="1">
      <alignment horizontal="center" vertical="center" wrapText="1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46" fillId="7" borderId="36" xfId="0" applyFont="1" applyFill="1" applyBorder="1" applyAlignment="1">
      <alignment horizontal="left"/>
    </xf>
    <xf numFmtId="0" fontId="52" fillId="0" borderId="0" xfId="0" applyFont="1"/>
    <xf numFmtId="0" fontId="50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/>
    </xf>
    <xf numFmtId="0" fontId="4" fillId="0" borderId="1" xfId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5" fillId="0" borderId="15" xfId="0" applyFont="1" applyBorder="1" applyAlignment="1" applyProtection="1">
      <alignment horizontal="left" vertical="center" indent="1"/>
      <protection locked="0"/>
    </xf>
    <xf numFmtId="0" fontId="25" fillId="0" borderId="16" xfId="0" applyFont="1" applyBorder="1" applyAlignment="1" applyProtection="1">
      <alignment horizontal="left" vertical="center" indent="1"/>
      <protection locked="0"/>
    </xf>
    <xf numFmtId="0" fontId="17" fillId="0" borderId="15" xfId="0" applyFont="1" applyBorder="1" applyAlignment="1" applyProtection="1">
      <alignment horizontal="left" vertical="center" indent="1"/>
      <protection locked="0"/>
    </xf>
    <xf numFmtId="0" fontId="17" fillId="0" borderId="16" xfId="0" applyFont="1" applyBorder="1" applyAlignment="1" applyProtection="1">
      <alignment horizontal="left" vertical="center" indent="1"/>
      <protection locked="0"/>
    </xf>
    <xf numFmtId="0" fontId="22" fillId="0" borderId="0" xfId="0" applyFont="1" applyAlignment="1">
      <alignment horizontal="left" vertical="center" wrapText="1" indent="3"/>
    </xf>
    <xf numFmtId="0" fontId="22" fillId="0" borderId="19" xfId="0" applyFont="1" applyBorder="1" applyAlignment="1">
      <alignment horizontal="left" vertical="center" wrapText="1" indent="3"/>
    </xf>
    <xf numFmtId="0" fontId="25" fillId="0" borderId="31" xfId="0" applyFont="1" applyBorder="1" applyAlignment="1" applyProtection="1">
      <alignment horizontal="left" vertical="center" indent="1"/>
      <protection locked="0"/>
    </xf>
    <xf numFmtId="0" fontId="25" fillId="0" borderId="32" xfId="0" applyFont="1" applyBorder="1" applyAlignment="1" applyProtection="1">
      <alignment horizontal="left" vertical="center" indent="1"/>
      <protection locked="0"/>
    </xf>
    <xf numFmtId="0" fontId="25" fillId="0" borderId="17" xfId="0" applyFont="1" applyBorder="1" applyAlignment="1" applyProtection="1">
      <alignment horizontal="left" vertical="center" indent="1"/>
      <protection locked="0"/>
    </xf>
    <xf numFmtId="0" fontId="25" fillId="0" borderId="21" xfId="0" applyFont="1" applyBorder="1" applyAlignment="1" applyProtection="1">
      <alignment horizontal="center" vertical="center"/>
      <protection locked="0"/>
    </xf>
    <xf numFmtId="0" fontId="25" fillId="0" borderId="22" xfId="0" applyFont="1" applyBorder="1" applyAlignment="1" applyProtection="1">
      <alignment horizontal="center" vertical="center"/>
      <protection locked="0"/>
    </xf>
    <xf numFmtId="0" fontId="22" fillId="0" borderId="11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49" fontId="17" fillId="0" borderId="15" xfId="0" applyNumberFormat="1" applyFont="1" applyBorder="1" applyAlignment="1" applyProtection="1">
      <alignment horizontal="left" vertical="center" indent="1"/>
      <protection locked="0"/>
    </xf>
    <xf numFmtId="49" fontId="17" fillId="0" borderId="16" xfId="0" applyNumberFormat="1" applyFont="1" applyBorder="1" applyAlignment="1" applyProtection="1">
      <alignment horizontal="left" vertical="center" indent="1"/>
      <protection locked="0"/>
    </xf>
    <xf numFmtId="49" fontId="25" fillId="0" borderId="15" xfId="0" applyNumberFormat="1" applyFont="1" applyBorder="1" applyAlignment="1" applyProtection="1">
      <alignment horizontal="left" vertical="center" indent="1"/>
      <protection locked="0"/>
    </xf>
    <xf numFmtId="49" fontId="25" fillId="0" borderId="16" xfId="0" applyNumberFormat="1" applyFont="1" applyBorder="1" applyAlignment="1" applyProtection="1">
      <alignment horizontal="left" vertical="center" indent="1"/>
      <protection locked="0"/>
    </xf>
    <xf numFmtId="0" fontId="17" fillId="0" borderId="15" xfId="0" applyFont="1" applyBorder="1" applyAlignment="1" applyProtection="1">
      <alignment horizontal="center" vertical="center"/>
      <protection locked="0"/>
    </xf>
    <xf numFmtId="0" fontId="17" fillId="0" borderId="16" xfId="0" applyFont="1" applyBorder="1" applyAlignment="1" applyProtection="1">
      <alignment horizontal="center" vertical="center"/>
      <protection locked="0"/>
    </xf>
    <xf numFmtId="0" fontId="22" fillId="0" borderId="35" xfId="0" applyFont="1" applyBorder="1" applyAlignment="1">
      <alignment horizontal="left" vertical="center"/>
    </xf>
    <xf numFmtId="0" fontId="26" fillId="3" borderId="0" xfId="0" applyFont="1" applyFill="1" applyAlignment="1">
      <alignment horizontal="center" vertical="center"/>
    </xf>
    <xf numFmtId="1" fontId="17" fillId="0" borderId="15" xfId="0" applyNumberFormat="1" applyFont="1" applyBorder="1" applyAlignment="1" applyProtection="1">
      <alignment horizontal="center" vertical="center"/>
      <protection locked="0"/>
    </xf>
    <xf numFmtId="1" fontId="17" fillId="0" borderId="16" xfId="0" applyNumberFormat="1" applyFont="1" applyBorder="1" applyAlignment="1" applyProtection="1">
      <alignment horizontal="center" vertical="center"/>
      <protection locked="0"/>
    </xf>
    <xf numFmtId="0" fontId="25" fillId="0" borderId="15" xfId="0" applyFont="1" applyBorder="1" applyAlignment="1" applyProtection="1">
      <alignment horizontal="center" vertical="center"/>
      <protection locked="0"/>
    </xf>
    <xf numFmtId="0" fontId="25" fillId="0" borderId="16" xfId="0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left" vertical="center" wrapText="1"/>
    </xf>
    <xf numFmtId="0" fontId="4" fillId="0" borderId="15" xfId="1" applyBorder="1" applyAlignment="1" applyProtection="1">
      <alignment horizontal="center" vertical="center"/>
      <protection locked="0"/>
    </xf>
    <xf numFmtId="0" fontId="4" fillId="0" borderId="16" xfId="1" applyBorder="1" applyAlignment="1" applyProtection="1">
      <alignment horizontal="center" vertical="center"/>
      <protection locked="0"/>
    </xf>
    <xf numFmtId="0" fontId="50" fillId="0" borderId="0" xfId="0" applyFont="1" applyAlignment="1">
      <alignment horizontal="left" vertical="center" wrapText="1"/>
    </xf>
    <xf numFmtId="164" fontId="25" fillId="0" borderId="15" xfId="0" applyNumberFormat="1" applyFont="1" applyBorder="1" applyAlignment="1" applyProtection="1">
      <alignment horizontal="left" vertical="center" indent="1"/>
      <protection locked="0"/>
    </xf>
    <xf numFmtId="164" fontId="25" fillId="0" borderId="16" xfId="0" applyNumberFormat="1" applyFont="1" applyBorder="1" applyAlignment="1" applyProtection="1">
      <alignment horizontal="left" vertical="center" indent="1"/>
      <protection locked="0"/>
    </xf>
    <xf numFmtId="0" fontId="30" fillId="0" borderId="34" xfId="0" applyFont="1" applyBorder="1" applyAlignment="1">
      <alignment horizontal="left" vertical="center" wrapText="1"/>
    </xf>
    <xf numFmtId="164" fontId="25" fillId="0" borderId="28" xfId="0" applyNumberFormat="1" applyFont="1" applyBorder="1" applyAlignment="1" applyProtection="1">
      <alignment horizontal="center" vertical="center"/>
      <protection locked="0"/>
    </xf>
    <xf numFmtId="164" fontId="25" fillId="0" borderId="29" xfId="0" applyNumberFormat="1" applyFont="1" applyBorder="1" applyAlignment="1" applyProtection="1">
      <alignment horizontal="center" vertical="center"/>
      <protection locked="0"/>
    </xf>
    <xf numFmtId="164" fontId="25" fillId="0" borderId="31" xfId="0" applyNumberFormat="1" applyFont="1" applyBorder="1" applyAlignment="1" applyProtection="1">
      <alignment horizontal="center" vertical="center"/>
      <protection locked="0"/>
    </xf>
    <xf numFmtId="164" fontId="25" fillId="0" borderId="33" xfId="0" applyNumberFormat="1" applyFont="1" applyBorder="1" applyAlignment="1" applyProtection="1">
      <alignment horizontal="center" vertical="center"/>
      <protection locked="0"/>
    </xf>
    <xf numFmtId="0" fontId="40" fillId="0" borderId="0" xfId="0" applyFont="1" applyAlignment="1">
      <alignment horizontal="left" vertical="center"/>
    </xf>
    <xf numFmtId="0" fontId="0" fillId="0" borderId="28" xfId="0" applyBorder="1" applyAlignment="1" applyProtection="1">
      <alignment horizontal="left" vertical="top" indent="1"/>
      <protection locked="0"/>
    </xf>
    <xf numFmtId="0" fontId="0" fillId="0" borderId="20" xfId="0" applyBorder="1" applyAlignment="1" applyProtection="1">
      <alignment horizontal="left" vertical="top" indent="1"/>
      <protection locked="0"/>
    </xf>
    <xf numFmtId="0" fontId="0" fillId="0" borderId="29" xfId="0" applyBorder="1" applyAlignment="1" applyProtection="1">
      <alignment horizontal="left" vertical="top" indent="1"/>
      <protection locked="0"/>
    </xf>
    <xf numFmtId="0" fontId="0" fillId="0" borderId="30" xfId="0" applyBorder="1" applyAlignment="1" applyProtection="1">
      <alignment horizontal="left" vertical="top" indent="1"/>
      <protection locked="0"/>
    </xf>
    <xf numFmtId="0" fontId="0" fillId="0" borderId="0" xfId="0" applyAlignment="1" applyProtection="1">
      <alignment horizontal="left" vertical="top" indent="1"/>
      <protection locked="0"/>
    </xf>
    <xf numFmtId="0" fontId="0" fillId="0" borderId="18" xfId="0" applyBorder="1" applyAlignment="1" applyProtection="1">
      <alignment horizontal="left" vertical="top" indent="1"/>
      <protection locked="0"/>
    </xf>
    <xf numFmtId="0" fontId="0" fillId="0" borderId="31" xfId="0" applyBorder="1" applyAlignment="1" applyProtection="1">
      <alignment horizontal="left" vertical="top" indent="1"/>
      <protection locked="0"/>
    </xf>
    <xf numFmtId="0" fontId="0" fillId="0" borderId="32" xfId="0" applyBorder="1" applyAlignment="1" applyProtection="1">
      <alignment horizontal="left" vertical="top" indent="1"/>
      <protection locked="0"/>
    </xf>
    <xf numFmtId="0" fontId="0" fillId="0" borderId="33" xfId="0" applyBorder="1" applyAlignment="1" applyProtection="1">
      <alignment horizontal="left" vertical="top" indent="1"/>
      <protection locked="0"/>
    </xf>
    <xf numFmtId="0" fontId="1" fillId="0" borderId="0" xfId="0" applyFont="1" applyAlignment="1">
      <alignment horizontal="left"/>
    </xf>
    <xf numFmtId="0" fontId="40" fillId="0" borderId="34" xfId="0" applyFont="1" applyBorder="1" applyAlignment="1">
      <alignment horizontal="left" vertical="center"/>
    </xf>
    <xf numFmtId="0" fontId="23" fillId="0" borderId="28" xfId="0" applyFont="1" applyBorder="1" applyAlignment="1" applyProtection="1">
      <alignment horizontal="left" vertical="top" indent="1"/>
      <protection locked="0"/>
    </xf>
    <xf numFmtId="0" fontId="23" fillId="0" borderId="20" xfId="0" applyFont="1" applyBorder="1" applyAlignment="1" applyProtection="1">
      <alignment horizontal="left" vertical="top" indent="1"/>
      <protection locked="0"/>
    </xf>
    <xf numFmtId="0" fontId="23" fillId="0" borderId="29" xfId="0" applyFont="1" applyBorder="1" applyAlignment="1" applyProtection="1">
      <alignment horizontal="left" vertical="top" indent="1"/>
      <protection locked="0"/>
    </xf>
    <xf numFmtId="0" fontId="23" fillId="0" borderId="30" xfId="0" applyFont="1" applyBorder="1" applyAlignment="1" applyProtection="1">
      <alignment horizontal="left" vertical="top" indent="1"/>
      <protection locked="0"/>
    </xf>
    <xf numFmtId="0" fontId="23" fillId="0" borderId="0" xfId="0" applyFont="1" applyAlignment="1" applyProtection="1">
      <alignment horizontal="left" vertical="top" indent="1"/>
      <protection locked="0"/>
    </xf>
    <xf numFmtId="0" fontId="23" fillId="0" borderId="18" xfId="0" applyFont="1" applyBorder="1" applyAlignment="1" applyProtection="1">
      <alignment horizontal="left" vertical="top" indent="1"/>
      <protection locked="0"/>
    </xf>
    <xf numFmtId="0" fontId="23" fillId="0" borderId="31" xfId="0" applyFont="1" applyBorder="1" applyAlignment="1" applyProtection="1">
      <alignment horizontal="left" vertical="top" indent="1"/>
      <protection locked="0"/>
    </xf>
    <xf numFmtId="0" fontId="23" fillId="0" borderId="32" xfId="0" applyFont="1" applyBorder="1" applyAlignment="1" applyProtection="1">
      <alignment horizontal="left" vertical="top" indent="1"/>
      <protection locked="0"/>
    </xf>
    <xf numFmtId="0" fontId="23" fillId="0" borderId="33" xfId="0" applyFont="1" applyBorder="1" applyAlignment="1" applyProtection="1">
      <alignment horizontal="left" vertical="top" indent="1"/>
      <protection locked="0"/>
    </xf>
    <xf numFmtId="0" fontId="29" fillId="4" borderId="13" xfId="0" applyFont="1" applyFill="1" applyBorder="1" applyAlignment="1">
      <alignment horizontal="center" vertical="center"/>
    </xf>
    <xf numFmtId="0" fontId="29" fillId="4" borderId="39" xfId="0" applyFont="1" applyFill="1" applyBorder="1" applyAlignment="1">
      <alignment horizontal="center" vertical="center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1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 applyProtection="1">
      <alignment horizontal="center" vertical="center"/>
      <protection locked="0"/>
    </xf>
    <xf numFmtId="0" fontId="29" fillId="4" borderId="24" xfId="0" applyFont="1" applyFill="1" applyBorder="1" applyAlignment="1" applyProtection="1">
      <alignment horizontal="center" vertical="center"/>
      <protection locked="0"/>
    </xf>
    <xf numFmtId="0" fontId="29" fillId="4" borderId="1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39" xfId="0" applyFont="1" applyFill="1" applyBorder="1" applyAlignment="1">
      <alignment horizontal="center" vertical="center" wrapText="1"/>
    </xf>
    <xf numFmtId="0" fontId="29" fillId="4" borderId="43" xfId="0" applyFont="1" applyFill="1" applyBorder="1" applyAlignment="1">
      <alignment horizontal="center" vertical="center" wrapText="1"/>
    </xf>
    <xf numFmtId="0" fontId="29" fillId="4" borderId="44" xfId="0" applyFont="1" applyFill="1" applyBorder="1" applyAlignment="1">
      <alignment horizontal="center" vertical="center"/>
    </xf>
    <xf numFmtId="0" fontId="29" fillId="4" borderId="34" xfId="0" applyFont="1" applyFill="1" applyBorder="1" applyAlignment="1">
      <alignment horizontal="center" vertical="center"/>
    </xf>
    <xf numFmtId="0" fontId="54" fillId="0" borderId="0" xfId="1" applyFont="1" applyAlignment="1">
      <alignment horizontal="center"/>
    </xf>
    <xf numFmtId="0" fontId="40" fillId="0" borderId="11" xfId="0" applyFont="1" applyBorder="1" applyAlignment="1">
      <alignment horizontal="left" vertical="center"/>
    </xf>
    <xf numFmtId="0" fontId="34" fillId="6" borderId="8" xfId="0" applyFont="1" applyFill="1" applyBorder="1" applyAlignment="1">
      <alignment horizontal="left"/>
    </xf>
    <xf numFmtId="0" fontId="34" fillId="6" borderId="0" xfId="0" applyFont="1" applyFill="1" applyAlignment="1">
      <alignment horizontal="left"/>
    </xf>
    <xf numFmtId="0" fontId="46" fillId="7" borderId="8" xfId="0" applyFont="1" applyFill="1" applyBorder="1" applyAlignment="1">
      <alignment horizontal="center"/>
    </xf>
    <xf numFmtId="0" fontId="46" fillId="7" borderId="0" xfId="0" applyFont="1" applyFill="1" applyAlignment="1">
      <alignment horizontal="center"/>
    </xf>
    <xf numFmtId="0" fontId="34" fillId="4" borderId="0" xfId="0" applyFont="1" applyFill="1" applyAlignment="1">
      <alignment horizontal="center"/>
    </xf>
    <xf numFmtId="0" fontId="34" fillId="6" borderId="8" xfId="0" applyFont="1" applyFill="1" applyBorder="1" applyAlignment="1">
      <alignment horizontal="center"/>
    </xf>
    <xf numFmtId="0" fontId="34" fillId="6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51">
    <dxf>
      <border>
        <left/>
        <right/>
        <top/>
        <bottom/>
        <vertical/>
        <horizontal/>
      </border>
    </dxf>
    <dxf>
      <numFmt numFmtId="167" formatCode="###&quot;.&quot;###&quot;-&quot;0"/>
    </dxf>
    <dxf>
      <numFmt numFmtId="168" formatCode="0&quot;.&quot;###&quot;.&quot;###&quot;-&quot;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  <numFmt numFmtId="2" formatCode="0.00"/>
      <fill>
        <patternFill>
          <bgColor theme="0" tint="-0.34998626667073579"/>
        </patternFill>
      </fill>
    </dxf>
    <dxf>
      <numFmt numFmtId="169" formatCode="0\ \K\W"/>
    </dxf>
    <dxf>
      <numFmt numFmtId="165" formatCode="General\ \K\W"/>
    </dxf>
    <dxf>
      <font>
        <color theme="0" tint="-0.34998626667073579"/>
      </font>
      <numFmt numFmtId="2" formatCode="0.00"/>
      <fill>
        <patternFill>
          <bgColor theme="0" tint="-0.34998626667073579"/>
        </patternFill>
      </fill>
    </dxf>
    <dxf>
      <numFmt numFmtId="169" formatCode="0\ \K\W"/>
    </dxf>
    <dxf>
      <numFmt numFmtId="165" formatCode="General\ \K\W"/>
    </dxf>
    <dxf>
      <font>
        <color theme="0" tint="-0.34998626667073579"/>
      </font>
      <numFmt numFmtId="2" formatCode="0.00"/>
      <fill>
        <patternFill>
          <bgColor theme="0" tint="-0.34998626667073579"/>
        </patternFill>
      </fill>
    </dxf>
    <dxf>
      <numFmt numFmtId="169" formatCode="0\ \K\W"/>
    </dxf>
    <dxf>
      <numFmt numFmtId="165" formatCode="General\ \K\W"/>
    </dxf>
    <dxf>
      <numFmt numFmtId="169" formatCode="0\ \K\W"/>
    </dxf>
    <dxf>
      <numFmt numFmtId="165" formatCode="General\ \K\W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  <numFmt numFmtId="2" formatCode="0.00"/>
      <fill>
        <patternFill>
          <bgColor theme="0" tint="-0.34998626667073579"/>
        </patternFill>
      </fill>
    </dxf>
    <dxf>
      <numFmt numFmtId="169" formatCode="0\ \K\W"/>
    </dxf>
    <dxf>
      <numFmt numFmtId="165" formatCode="General\ \K\W"/>
    </dxf>
    <dxf>
      <border>
        <left/>
        <right/>
        <top/>
        <bottom/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/>
        </patternFill>
      </fill>
    </dxf>
    <dxf>
      <font>
        <color theme="0" tint="-0.24994659260841701"/>
      </font>
    </dxf>
    <dxf>
      <numFmt numFmtId="167" formatCode="###&quot;.&quot;###&quot;-&quot;0"/>
    </dxf>
    <dxf>
      <numFmt numFmtId="168" formatCode="0&quot;.&quot;###&quot;.&quot;###&quot;-&quot;0"/>
    </dxf>
    <dxf>
      <fill>
        <patternFill>
          <bgColor theme="0" tint="-0.24994659260841701"/>
        </patternFill>
      </fill>
    </dxf>
    <dxf>
      <font>
        <color theme="0" tint="-0.24994659260841701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border>
        <left/>
        <right/>
        <top/>
        <bottom/>
        <vertical/>
        <horizontal/>
      </border>
    </dxf>
    <dxf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ont>
        <color auto="1"/>
      </font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numFmt numFmtId="167" formatCode="###&quot;.&quot;###&quot;-&quot;0"/>
    </dxf>
    <dxf>
      <numFmt numFmtId="168" formatCode="0&quot;.&quot;###&quot;.&quot;###&quot;-&quot;0"/>
    </dxf>
    <dxf>
      <font>
        <color theme="0" tint="-0.24994659260841701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5AB4"/>
      <color rgb="FF0069D2"/>
      <color rgb="FF4A87EA"/>
      <color rgb="FFFF8200"/>
      <color rgb="FF0046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Individual!A1"/><Relationship Id="rId1" Type="http://schemas.openxmlformats.org/officeDocument/2006/relationships/image" Target="../media/image1.png"/><Relationship Id="rId6" Type="http://schemas.openxmlformats.org/officeDocument/2006/relationships/hyperlink" Target="#Reconexion!A1"/><Relationship Id="rId5" Type="http://schemas.openxmlformats.org/officeDocument/2006/relationships/image" Target="../media/image3.png"/><Relationship Id="rId4" Type="http://schemas.openxmlformats.org/officeDocument/2006/relationships/hyperlink" Target="#Colectiva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Colectiva!A1"/><Relationship Id="rId1" Type="http://schemas.openxmlformats.org/officeDocument/2006/relationships/hyperlink" Target="#Inici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7</xdr:row>
      <xdr:rowOff>95250</xdr:rowOff>
    </xdr:from>
    <xdr:to>
      <xdr:col>4</xdr:col>
      <xdr:colOff>0</xdr:colOff>
      <xdr:row>14</xdr:row>
      <xdr:rowOff>38100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771650" y="1428750"/>
          <a:ext cx="1276350" cy="1276350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Y" sz="1100"/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16</xdr:col>
      <xdr:colOff>679018</xdr:colOff>
      <xdr:row>4</xdr:row>
      <xdr:rowOff>17318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45"/>
        <a:stretch/>
      </xdr:blipFill>
      <xdr:spPr>
        <a:xfrm>
          <a:off x="1" y="0"/>
          <a:ext cx="12767108" cy="779318"/>
        </a:xfrm>
        <a:prstGeom prst="rect">
          <a:avLst/>
        </a:prstGeom>
      </xdr:spPr>
    </xdr:pic>
    <xdr:clientData/>
  </xdr:twoCellAnchor>
  <xdr:twoCellAnchor>
    <xdr:from>
      <xdr:col>1</xdr:col>
      <xdr:colOff>342900</xdr:colOff>
      <xdr:row>6</xdr:row>
      <xdr:rowOff>0</xdr:rowOff>
    </xdr:from>
    <xdr:to>
      <xdr:col>4</xdr:col>
      <xdr:colOff>542925</xdr:colOff>
      <xdr:row>21</xdr:row>
      <xdr:rowOff>104775</xdr:rowOff>
    </xdr:to>
    <xdr:grpSp>
      <xdr:nvGrpSpPr>
        <xdr:cNvPr id="18" name="Grup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1219200" y="1143000"/>
          <a:ext cx="2828925" cy="2962275"/>
          <a:chOff x="1104900" y="1143000"/>
          <a:chExt cx="2486025" cy="2962275"/>
        </a:xfrm>
      </xdr:grpSpPr>
      <xdr:sp macro="" textlink="">
        <xdr:nvSpPr>
          <xdr:cNvPr id="2" name="Rectángulo redondeado 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1104900" y="2771775"/>
            <a:ext cx="2486025" cy="1333500"/>
          </a:xfrm>
          <a:prstGeom prst="roundRect">
            <a:avLst/>
          </a:prstGeom>
          <a:solidFill>
            <a:schemeClr val="accent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UY" sz="1800" b="0"/>
              <a:t>Solicitud</a:t>
            </a:r>
            <a:r>
              <a:rPr lang="es-UY" sz="1800" b="0" baseline="0"/>
              <a:t> de Suministro </a:t>
            </a:r>
            <a:r>
              <a:rPr lang="es-UY" sz="1800" b="1" baseline="0"/>
              <a:t>Individual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50" t="24445" r="28668" b="21119"/>
          <a:stretch/>
        </xdr:blipFill>
        <xdr:spPr>
          <a:xfrm>
            <a:off x="1343025" y="1143000"/>
            <a:ext cx="2162175" cy="20574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228600</xdr:colOff>
      <xdr:row>6</xdr:row>
      <xdr:rowOff>66674</xdr:rowOff>
    </xdr:from>
    <xdr:to>
      <xdr:col>8</xdr:col>
      <xdr:colOff>609600</xdr:colOff>
      <xdr:row>21</xdr:row>
      <xdr:rowOff>123825</xdr:rowOff>
    </xdr:to>
    <xdr:grpSp>
      <xdr:nvGrpSpPr>
        <xdr:cNvPr id="19" name="Grup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pSpPr/>
      </xdr:nvGrpSpPr>
      <xdr:grpSpPr>
        <a:xfrm>
          <a:off x="4610100" y="1209674"/>
          <a:ext cx="3009900" cy="2914651"/>
          <a:chOff x="4038600" y="1209674"/>
          <a:chExt cx="2667000" cy="2914651"/>
        </a:xfrm>
      </xdr:grpSpPr>
      <xdr:sp macro="" textlink="">
        <xdr:nvSpPr>
          <xdr:cNvPr id="3" name="Rectángulo redondeado 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4143375" y="2790825"/>
            <a:ext cx="2486025" cy="1333500"/>
          </a:xfrm>
          <a:prstGeom prst="roundRect">
            <a:avLst/>
          </a:prstGeom>
          <a:solidFill>
            <a:schemeClr val="accent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UY" sz="1800" b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Solicitud</a:t>
            </a:r>
            <a:r>
              <a:rPr lang="es-UY" sz="1800" b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de Suministro </a:t>
            </a:r>
            <a:r>
              <a:rPr lang="es-UY" sz="18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Colectiva</a:t>
            </a:r>
            <a:endParaRPr lang="es-UY" sz="1800" b="1">
              <a:effectLst/>
            </a:endParaRPr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492" t="25957" r="25451" b="26916"/>
          <a:stretch/>
        </xdr:blipFill>
        <xdr:spPr>
          <a:xfrm>
            <a:off x="4038600" y="1209674"/>
            <a:ext cx="2667000" cy="1781175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371475</xdr:colOff>
      <xdr:row>6</xdr:row>
      <xdr:rowOff>76199</xdr:rowOff>
    </xdr:from>
    <xdr:to>
      <xdr:col>12</xdr:col>
      <xdr:colOff>571500</xdr:colOff>
      <xdr:row>21</xdr:row>
      <xdr:rowOff>104775</xdr:rowOff>
    </xdr:to>
    <xdr:grpSp>
      <xdr:nvGrpSpPr>
        <xdr:cNvPr id="21" name="Grupo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8258175" y="1219199"/>
          <a:ext cx="2828925" cy="2886076"/>
          <a:chOff x="7229475" y="1219199"/>
          <a:chExt cx="2486025" cy="2886076"/>
        </a:xfrm>
      </xdr:grpSpPr>
      <xdr:pic>
        <xdr:nvPicPr>
          <xdr:cNvPr id="14" name="Imagen 13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colorTemperature colorTemp="11200"/>
                    </a14:imgEffect>
                    <a14:imgEffect>
                      <a14:saturation sat="2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33610" t="26966" r="32602" b="25151"/>
          <a:stretch/>
        </xdr:blipFill>
        <xdr:spPr>
          <a:xfrm>
            <a:off x="7639050" y="1219199"/>
            <a:ext cx="1800225" cy="1809751"/>
          </a:xfrm>
          <a:prstGeom prst="rect">
            <a:avLst/>
          </a:prstGeom>
        </xdr:spPr>
      </xdr:pic>
      <xdr:sp macro="" textlink="">
        <xdr:nvSpPr>
          <xdr:cNvPr id="5" name="Rectángulo redondeado 4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7229475" y="2771775"/>
            <a:ext cx="2486025" cy="1333500"/>
          </a:xfrm>
          <a:prstGeom prst="round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UY" sz="1800" b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Solicitud</a:t>
            </a:r>
            <a:r>
              <a:rPr lang="es-UY" sz="1800" b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de </a:t>
            </a:r>
            <a:r>
              <a:rPr lang="es-UY" sz="18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Reconexión de Corte por Falta de Seguridad</a:t>
            </a:r>
            <a:endParaRPr lang="es-UY" sz="1800" b="1">
              <a:effectLst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361950</xdr:rowOff>
    </xdr:from>
    <xdr:to>
      <xdr:col>1</xdr:col>
      <xdr:colOff>704850</xdr:colOff>
      <xdr:row>3</xdr:row>
      <xdr:rowOff>257175</xdr:rowOff>
    </xdr:to>
    <xdr:sp macro="" textlink="">
      <xdr:nvSpPr>
        <xdr:cNvPr id="4" name="Rectángulo redondead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42900" y="742950"/>
          <a:ext cx="69532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UY" sz="1400"/>
            <a:t>Inicio</a:t>
          </a:r>
        </a:p>
      </xdr:txBody>
    </xdr:sp>
    <xdr:clientData/>
  </xdr:twoCellAnchor>
  <xdr:twoCellAnchor>
    <xdr:from>
      <xdr:col>7</xdr:col>
      <xdr:colOff>1000125</xdr:colOff>
      <xdr:row>16</xdr:row>
      <xdr:rowOff>66675</xdr:rowOff>
    </xdr:from>
    <xdr:to>
      <xdr:col>7</xdr:col>
      <xdr:colOff>1142999</xdr:colOff>
      <xdr:row>16</xdr:row>
      <xdr:rowOff>295275</xdr:rowOff>
    </xdr:to>
    <xdr:sp macro="" textlink="check!M6">
      <xdr:nvSpPr>
        <xdr:cNvPr id="5" name="CuadroTex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628900" y="5153025"/>
          <a:ext cx="142874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515FD4E-DEC4-4926-BD3A-A87C6156BE00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s-UY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400050</xdr:colOff>
      <xdr:row>24</xdr:row>
      <xdr:rowOff>0</xdr:rowOff>
    </xdr:from>
    <xdr:to>
      <xdr:col>1</xdr:col>
      <xdr:colOff>704849</xdr:colOff>
      <xdr:row>24</xdr:row>
      <xdr:rowOff>228600</xdr:rowOff>
    </xdr:to>
    <xdr:sp macro="" textlink="check!B60">
      <xdr:nvSpPr>
        <xdr:cNvPr id="6" name="CuadroText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952500" y="7753350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B7732CB-1624-4073-B83E-2D137E4712B9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s-UY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990600</xdr:colOff>
      <xdr:row>24</xdr:row>
      <xdr:rowOff>28575</xdr:rowOff>
    </xdr:from>
    <xdr:to>
      <xdr:col>5</xdr:col>
      <xdr:colOff>276224</xdr:colOff>
      <xdr:row>24</xdr:row>
      <xdr:rowOff>257175</xdr:rowOff>
    </xdr:to>
    <xdr:sp macro="" textlink="check!B60">
      <xdr:nvSpPr>
        <xdr:cNvPr id="8" name="CuadroText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4695825" y="7781925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B7732CB-1624-4073-B83E-2D137E4712B9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s-UY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723900</xdr:colOff>
      <xdr:row>26</xdr:row>
      <xdr:rowOff>57150</xdr:rowOff>
    </xdr:from>
    <xdr:to>
      <xdr:col>5</xdr:col>
      <xdr:colOff>9524</xdr:colOff>
      <xdr:row>26</xdr:row>
      <xdr:rowOff>285750</xdr:rowOff>
    </xdr:to>
    <xdr:sp macro="" textlink="check!B60">
      <xdr:nvSpPr>
        <xdr:cNvPr id="9" name="CuadroText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4429125" y="8477250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B7732CB-1624-4073-B83E-2D137E4712B9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s-UY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38100</xdr:colOff>
      <xdr:row>26</xdr:row>
      <xdr:rowOff>28575</xdr:rowOff>
    </xdr:from>
    <xdr:to>
      <xdr:col>2</xdr:col>
      <xdr:colOff>342899</xdr:colOff>
      <xdr:row>26</xdr:row>
      <xdr:rowOff>257175</xdr:rowOff>
    </xdr:to>
    <xdr:sp macro="" textlink="check!B60">
      <xdr:nvSpPr>
        <xdr:cNvPr id="10" name="CuadroText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1562100" y="8448675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B7732CB-1624-4073-B83E-2D137E4712B9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s-UY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762001</xdr:colOff>
      <xdr:row>40</xdr:row>
      <xdr:rowOff>28574</xdr:rowOff>
    </xdr:from>
    <xdr:to>
      <xdr:col>4</xdr:col>
      <xdr:colOff>1009650</xdr:colOff>
      <xdr:row>40</xdr:row>
      <xdr:rowOff>266699</xdr:rowOff>
    </xdr:to>
    <xdr:sp macro="" textlink="check!B64">
      <xdr:nvSpPr>
        <xdr:cNvPr id="11" name="CuadroText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1314451" y="13573124"/>
          <a:ext cx="247649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9C942D9-4481-4769-A02C-D4BC57868EBE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s-UY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847725</xdr:colOff>
      <xdr:row>16</xdr:row>
      <xdr:rowOff>104775</xdr:rowOff>
    </xdr:from>
    <xdr:to>
      <xdr:col>9</xdr:col>
      <xdr:colOff>180974</xdr:colOff>
      <xdr:row>16</xdr:row>
      <xdr:rowOff>333375</xdr:rowOff>
    </xdr:to>
    <xdr:sp macro="" textlink="check!M6">
      <xdr:nvSpPr>
        <xdr:cNvPr id="12" name="CuadroText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8829675" y="5191125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925DB55-928D-46F8-AB03-54B4D644FF87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s-UY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171450</xdr:colOff>
      <xdr:row>18</xdr:row>
      <xdr:rowOff>47625</xdr:rowOff>
    </xdr:from>
    <xdr:to>
      <xdr:col>2</xdr:col>
      <xdr:colOff>476249</xdr:colOff>
      <xdr:row>18</xdr:row>
      <xdr:rowOff>276225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1800225" y="5924550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t>*</a:t>
          </a:r>
        </a:p>
      </xdr:txBody>
    </xdr:sp>
    <xdr:clientData/>
  </xdr:twoCellAnchor>
  <xdr:twoCellAnchor>
    <xdr:from>
      <xdr:col>4</xdr:col>
      <xdr:colOff>762001</xdr:colOff>
      <xdr:row>41</xdr:row>
      <xdr:rowOff>28574</xdr:rowOff>
    </xdr:from>
    <xdr:to>
      <xdr:col>4</xdr:col>
      <xdr:colOff>1009650</xdr:colOff>
      <xdr:row>41</xdr:row>
      <xdr:rowOff>266699</xdr:rowOff>
    </xdr:to>
    <xdr:sp macro="" textlink="check!B65">
      <xdr:nvSpPr>
        <xdr:cNvPr id="14" name="CuadroText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4810126" y="13296899"/>
          <a:ext cx="247649" cy="161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30DBAC2-AFA5-47AF-A66B-75EB9540750A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s-UY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104775</xdr:colOff>
      <xdr:row>44</xdr:row>
      <xdr:rowOff>76200</xdr:rowOff>
    </xdr:from>
    <xdr:to>
      <xdr:col>2</xdr:col>
      <xdr:colOff>409574</xdr:colOff>
      <xdr:row>44</xdr:row>
      <xdr:rowOff>304800</xdr:rowOff>
    </xdr:to>
    <xdr:sp macro="" textlink="check!B70">
      <xdr:nvSpPr>
        <xdr:cNvPr id="15" name="CuadroText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1733550" y="14401800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95D6CA4-426B-407E-8482-3A6DCFE97F54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s-UY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742950</xdr:colOff>
      <xdr:row>44</xdr:row>
      <xdr:rowOff>114300</xdr:rowOff>
    </xdr:from>
    <xdr:to>
      <xdr:col>6</xdr:col>
      <xdr:colOff>76199</xdr:colOff>
      <xdr:row>44</xdr:row>
      <xdr:rowOff>342900</xdr:rowOff>
    </xdr:to>
    <xdr:sp macro="" textlink="check!B70">
      <xdr:nvSpPr>
        <xdr:cNvPr id="16" name="CuadroText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172075" y="14439900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95D6CA4-426B-407E-8482-3A6DCFE97F54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s-UY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0</xdr:colOff>
      <xdr:row>2</xdr:row>
      <xdr:rowOff>295275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0" y="0"/>
          <a:ext cx="14373225" cy="676275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UY" sz="2400" b="0" u="none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UY" sz="2000" b="0" u="sng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Solicitud</a:t>
          </a:r>
          <a:r>
            <a:rPr lang="es-UY" sz="2000" b="0" u="sng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Suministros Individuales</a:t>
          </a:r>
          <a:endParaRPr lang="es-UY" sz="2000" b="0" u="sng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9525</xdr:rowOff>
    </xdr:from>
    <xdr:to>
      <xdr:col>1</xdr:col>
      <xdr:colOff>714375</xdr:colOff>
      <xdr:row>4</xdr:row>
      <xdr:rowOff>276225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71500" y="914400"/>
          <a:ext cx="69532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UY" sz="1400"/>
            <a:t>Inicio</a:t>
          </a:r>
        </a:p>
      </xdr:txBody>
    </xdr:sp>
    <xdr:clientData/>
  </xdr:twoCellAnchor>
  <xdr:twoCellAnchor>
    <xdr:from>
      <xdr:col>1</xdr:col>
      <xdr:colOff>371475</xdr:colOff>
      <xdr:row>25</xdr:row>
      <xdr:rowOff>19050</xdr:rowOff>
    </xdr:from>
    <xdr:to>
      <xdr:col>1</xdr:col>
      <xdr:colOff>676274</xdr:colOff>
      <xdr:row>25</xdr:row>
      <xdr:rowOff>247650</xdr:rowOff>
    </xdr:to>
    <xdr:sp macro="" textlink="check!B62">
      <xdr:nvSpPr>
        <xdr:cNvPr id="6" name="CuadroText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923925" y="7772400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7591A87-8770-4DD3-9A19-35F93A00F2BB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*</a:t>
          </a:fld>
          <a:endParaRPr lang="es-UY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1009650</xdr:colOff>
      <xdr:row>27</xdr:row>
      <xdr:rowOff>47625</xdr:rowOff>
    </xdr:from>
    <xdr:to>
      <xdr:col>1</xdr:col>
      <xdr:colOff>1314449</xdr:colOff>
      <xdr:row>27</xdr:row>
      <xdr:rowOff>276225</xdr:rowOff>
    </xdr:to>
    <xdr:sp macro="" textlink="check!B62">
      <xdr:nvSpPr>
        <xdr:cNvPr id="8" name="CuadroText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1562100" y="8467725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7591A87-8770-4DD3-9A19-35F93A00F2BB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*</a:t>
          </a:fld>
          <a:endParaRPr lang="es-UY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0</xdr:colOff>
      <xdr:row>25</xdr:row>
      <xdr:rowOff>19050</xdr:rowOff>
    </xdr:from>
    <xdr:to>
      <xdr:col>5</xdr:col>
      <xdr:colOff>304799</xdr:colOff>
      <xdr:row>25</xdr:row>
      <xdr:rowOff>247650</xdr:rowOff>
    </xdr:to>
    <xdr:sp macro="" textlink="check!B62">
      <xdr:nvSpPr>
        <xdr:cNvPr id="9" name="CuadroText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372100" y="7772400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7591A87-8770-4DD3-9A19-35F93A00F2BB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*</a:t>
          </a:fld>
          <a:endParaRPr lang="es-UY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666750</xdr:colOff>
      <xdr:row>27</xdr:row>
      <xdr:rowOff>57150</xdr:rowOff>
    </xdr:from>
    <xdr:to>
      <xdr:col>4</xdr:col>
      <xdr:colOff>971549</xdr:colOff>
      <xdr:row>27</xdr:row>
      <xdr:rowOff>285750</xdr:rowOff>
    </xdr:to>
    <xdr:sp macro="" textlink="check!B62">
      <xdr:nvSpPr>
        <xdr:cNvPr id="10" name="CuadroText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029200" y="8477250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7591A87-8770-4DD3-9A19-35F93A00F2BB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*</a:t>
          </a:fld>
          <a:endParaRPr lang="es-UY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16383</xdr:col>
      <xdr:colOff>57150</xdr:colOff>
      <xdr:row>3</xdr:row>
      <xdr:rowOff>133350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0" y="0"/>
          <a:ext cx="16897350" cy="676275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UY" sz="2400" b="0" u="none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UY" sz="2000" b="0" u="sng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Solicitud</a:t>
          </a:r>
          <a:r>
            <a:rPr lang="es-UY" sz="2000" b="0" u="sng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Suministros Colectivos</a:t>
          </a:r>
          <a:endParaRPr lang="es-UY" sz="2000" b="0" u="sng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1000125</xdr:colOff>
      <xdr:row>17</xdr:row>
      <xdr:rowOff>66675</xdr:rowOff>
    </xdr:from>
    <xdr:to>
      <xdr:col>7</xdr:col>
      <xdr:colOff>1142999</xdr:colOff>
      <xdr:row>17</xdr:row>
      <xdr:rowOff>295275</xdr:rowOff>
    </xdr:to>
    <xdr:sp macro="" textlink="check!M6">
      <xdr:nvSpPr>
        <xdr:cNvPr id="12" name="CuadroText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7343775" y="5153025"/>
          <a:ext cx="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515FD4E-DEC4-4926-BD3A-A87C6156BE00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s-UY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828675</xdr:colOff>
      <xdr:row>17</xdr:row>
      <xdr:rowOff>38100</xdr:rowOff>
    </xdr:from>
    <xdr:to>
      <xdr:col>9</xdr:col>
      <xdr:colOff>161924</xdr:colOff>
      <xdr:row>17</xdr:row>
      <xdr:rowOff>266700</xdr:rowOff>
    </xdr:to>
    <xdr:sp macro="" textlink="check!M5">
      <xdr:nvSpPr>
        <xdr:cNvPr id="13" name="CuadroText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8382000" y="5086350"/>
          <a:ext cx="295274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6BA04F5-F47D-4F04-ACB5-8CA7239C5D5F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s-UY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440391</xdr:colOff>
      <xdr:row>19</xdr:row>
      <xdr:rowOff>36419</xdr:rowOff>
    </xdr:from>
    <xdr:to>
      <xdr:col>2</xdr:col>
      <xdr:colOff>745190</xdr:colOff>
      <xdr:row>19</xdr:row>
      <xdr:rowOff>265019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1583391" y="5785037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t>*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115</xdr:row>
          <xdr:rowOff>139700</xdr:rowOff>
        </xdr:from>
        <xdr:to>
          <xdr:col>2</xdr:col>
          <xdr:colOff>139700</xdr:colOff>
          <xdr:row>119</xdr:row>
          <xdr:rowOff>152400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3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9525</xdr:rowOff>
    </xdr:from>
    <xdr:to>
      <xdr:col>1</xdr:col>
      <xdr:colOff>714375</xdr:colOff>
      <xdr:row>4</xdr:row>
      <xdr:rowOff>276225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57175" y="733425"/>
          <a:ext cx="69532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UY" sz="1400"/>
            <a:t>Inicio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1320800</xdr:colOff>
          <xdr:row>99</xdr:row>
          <xdr:rowOff>177800</xdr:rowOff>
        </xdr:from>
        <xdr:to>
          <xdr:col>5</xdr:col>
          <xdr:colOff>520700</xdr:colOff>
          <xdr:row>102</xdr:row>
          <xdr:rowOff>165100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4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16374</xdr:col>
      <xdr:colOff>57150</xdr:colOff>
      <xdr:row>3</xdr:row>
      <xdr:rowOff>133350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0" y="0"/>
          <a:ext cx="12489170475" cy="676275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UY" sz="2400" b="0" u="none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UY" sz="2000" b="0" u="sng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Solicitud</a:t>
          </a:r>
          <a:r>
            <a:rPr lang="es-UY" sz="2000" b="0" u="sng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Suministros Colectivos</a:t>
          </a:r>
          <a:endParaRPr lang="es-UY" sz="2000" b="0" u="sng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863311</xdr:colOff>
      <xdr:row>4</xdr:row>
      <xdr:rowOff>23380</xdr:rowOff>
    </xdr:from>
    <xdr:to>
      <xdr:col>2</xdr:col>
      <xdr:colOff>658091</xdr:colOff>
      <xdr:row>4</xdr:row>
      <xdr:rowOff>290080</xdr:rowOff>
    </xdr:to>
    <xdr:sp macro="" textlink="">
      <xdr:nvSpPr>
        <xdr:cNvPr id="5" name="Rectángulo redondead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105766" y="716107"/>
          <a:ext cx="69532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UY" sz="1400"/>
            <a:t>Volver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361950</xdr:rowOff>
    </xdr:from>
    <xdr:to>
      <xdr:col>1</xdr:col>
      <xdr:colOff>695325</xdr:colOff>
      <xdr:row>3</xdr:row>
      <xdr:rowOff>257175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52450" y="742950"/>
          <a:ext cx="69532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UY" sz="1400"/>
            <a:t>Inicio</a:t>
          </a:r>
        </a:p>
      </xdr:txBody>
    </xdr:sp>
    <xdr:clientData/>
  </xdr:twoCellAnchor>
  <xdr:twoCellAnchor>
    <xdr:from>
      <xdr:col>7</xdr:col>
      <xdr:colOff>1000125</xdr:colOff>
      <xdr:row>18</xdr:row>
      <xdr:rowOff>66675</xdr:rowOff>
    </xdr:from>
    <xdr:to>
      <xdr:col>7</xdr:col>
      <xdr:colOff>1142999</xdr:colOff>
      <xdr:row>18</xdr:row>
      <xdr:rowOff>295275</xdr:rowOff>
    </xdr:to>
    <xdr:sp macro="" textlink="check!M6">
      <xdr:nvSpPr>
        <xdr:cNvPr id="4" name="CuadroText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7562850" y="5153025"/>
          <a:ext cx="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515FD4E-DEC4-4926-BD3A-A87C6156BE00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s-UY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847725</xdr:colOff>
      <xdr:row>18</xdr:row>
      <xdr:rowOff>104775</xdr:rowOff>
    </xdr:from>
    <xdr:to>
      <xdr:col>9</xdr:col>
      <xdr:colOff>180974</xdr:colOff>
      <xdr:row>18</xdr:row>
      <xdr:rowOff>333375</xdr:rowOff>
    </xdr:to>
    <xdr:sp macro="" textlink="check!M6">
      <xdr:nvSpPr>
        <xdr:cNvPr id="10" name="CuadroTexto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8410575" y="5191125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925DB55-928D-46F8-AB03-54B4D644FF87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s-UY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171450</xdr:colOff>
      <xdr:row>20</xdr:row>
      <xdr:rowOff>47625</xdr:rowOff>
    </xdr:from>
    <xdr:to>
      <xdr:col>2</xdr:col>
      <xdr:colOff>476249</xdr:colOff>
      <xdr:row>20</xdr:row>
      <xdr:rowOff>276225</xdr:rowOff>
    </xdr:to>
    <xdr:sp macro="" textlink="check!B77">
      <xdr:nvSpPr>
        <xdr:cNvPr id="11" name="CuadroTexto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1800225" y="5924550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479D771-7318-45B5-B305-94293C8AF034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n-US" sz="1400" b="1" i="0" u="none" strike="noStrike">
            <a:solidFill>
              <a:srgbClr val="FF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</xdr:col>
      <xdr:colOff>885825</xdr:colOff>
      <xdr:row>18</xdr:row>
      <xdr:rowOff>76200</xdr:rowOff>
    </xdr:from>
    <xdr:to>
      <xdr:col>2</xdr:col>
      <xdr:colOff>114299</xdr:colOff>
      <xdr:row>18</xdr:row>
      <xdr:rowOff>304800</xdr:rowOff>
    </xdr:to>
    <xdr:sp macro="" textlink="check!B77">
      <xdr:nvSpPr>
        <xdr:cNvPr id="15" name="CuadroTexto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1438275" y="5829300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850197-8E0C-49C0-83CB-D6F99645B4E5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n-US" sz="1600" b="1" i="0" u="none" strike="noStrike">
            <a:solidFill>
              <a:srgbClr val="FF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361950</xdr:colOff>
      <xdr:row>18</xdr:row>
      <xdr:rowOff>95250</xdr:rowOff>
    </xdr:from>
    <xdr:to>
      <xdr:col>4</xdr:col>
      <xdr:colOff>666749</xdr:colOff>
      <xdr:row>18</xdr:row>
      <xdr:rowOff>323850</xdr:rowOff>
    </xdr:to>
    <xdr:sp macro="" textlink="check!B77">
      <xdr:nvSpPr>
        <xdr:cNvPr id="16" name="CuadroTexto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3829050" y="5848350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479D771-7318-45B5-B305-94293C8AF034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n-US" sz="1400" b="1" i="0" u="none" strike="noStrike">
            <a:solidFill>
              <a:srgbClr val="FF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5</xdr:col>
      <xdr:colOff>438150</xdr:colOff>
      <xdr:row>20</xdr:row>
      <xdr:rowOff>76200</xdr:rowOff>
    </xdr:from>
    <xdr:to>
      <xdr:col>5</xdr:col>
      <xdr:colOff>742949</xdr:colOff>
      <xdr:row>20</xdr:row>
      <xdr:rowOff>304800</xdr:rowOff>
    </xdr:to>
    <xdr:sp macro="" textlink="check!B77">
      <xdr:nvSpPr>
        <xdr:cNvPr id="17" name="CuadroTexto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4924425" y="6619875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479D771-7318-45B5-B305-94293C8AF034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n-US" sz="1400" b="1" i="0" u="none" strike="noStrike">
            <a:solidFill>
              <a:srgbClr val="FF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7</xdr:col>
      <xdr:colOff>476250</xdr:colOff>
      <xdr:row>20</xdr:row>
      <xdr:rowOff>28575</xdr:rowOff>
    </xdr:from>
    <xdr:to>
      <xdr:col>7</xdr:col>
      <xdr:colOff>781049</xdr:colOff>
      <xdr:row>20</xdr:row>
      <xdr:rowOff>257175</xdr:rowOff>
    </xdr:to>
    <xdr:sp macro="" textlink="check!B77">
      <xdr:nvSpPr>
        <xdr:cNvPr id="18" name="CuadroTexto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6524625" y="6572250"/>
          <a:ext cx="30479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479D771-7318-45B5-B305-94293C8AF034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 </a:t>
          </a:fld>
          <a:endParaRPr lang="en-US" sz="1400" b="1" i="0" u="none" strike="noStrike">
            <a:solidFill>
              <a:srgbClr val="FF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0</xdr:colOff>
      <xdr:row>2</xdr:row>
      <xdr:rowOff>295275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0" y="0"/>
          <a:ext cx="14392275" cy="676275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UY" sz="2400" b="0" u="none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UY" sz="2000" b="0" u="sng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Solicitud</a:t>
          </a:r>
          <a:r>
            <a:rPr lang="es-UY" sz="2000" b="0" u="sng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Reconexión de Corte por Falta de Seguridad</a:t>
          </a:r>
          <a:endParaRPr lang="es-UY" sz="2000" b="0" u="sng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image" Target="../media/image5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3.xml"/><Relationship Id="rId5" Type="http://schemas.openxmlformats.org/officeDocument/2006/relationships/image" Target="../media/image6.emf"/><Relationship Id="rId4" Type="http://schemas.openxmlformats.org/officeDocument/2006/relationships/oleObject" Target="../embeddings/oleObject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O94"/>
  <sheetViews>
    <sheetView zoomScale="85" zoomScaleNormal="85" workbookViewId="0">
      <selection activeCell="F41" sqref="F41:G41"/>
    </sheetView>
  </sheetViews>
  <sheetFormatPr baseColWidth="10" defaultRowHeight="15" x14ac:dyDescent="0.2"/>
  <cols>
    <col min="1" max="1" width="3.1640625" customWidth="1"/>
    <col min="2" max="15" width="13.6640625" customWidth="1"/>
  </cols>
  <sheetData>
    <row r="2" spans="2:15" ht="26" x14ac:dyDescent="0.3">
      <c r="B2" s="92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</row>
    <row r="4" spans="2:15" x14ac:dyDescent="0.2">
      <c r="B4" s="93" t="s">
        <v>9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</row>
    <row r="5" spans="2:15" ht="16" thickBot="1" x14ac:dyDescent="0.25">
      <c r="B5" s="3"/>
      <c r="C5" s="3"/>
      <c r="D5" s="3"/>
      <c r="E5" s="3"/>
      <c r="G5" s="3"/>
      <c r="H5" s="3"/>
      <c r="I5" s="3"/>
      <c r="J5" s="3"/>
      <c r="L5" s="3"/>
      <c r="M5" s="3"/>
      <c r="N5" s="3"/>
      <c r="O5" s="3"/>
    </row>
    <row r="6" spans="2:15" ht="15.75" customHeight="1" thickBot="1" x14ac:dyDescent="0.25">
      <c r="B6" s="89" t="s">
        <v>4</v>
      </c>
      <c r="C6" s="89"/>
      <c r="D6" s="90"/>
      <c r="E6" s="91"/>
      <c r="G6" s="89" t="s">
        <v>5</v>
      </c>
      <c r="H6" s="89"/>
      <c r="I6" s="90"/>
      <c r="J6" s="91"/>
    </row>
    <row r="7" spans="2:15" ht="16" thickBot="1" x14ac:dyDescent="0.25">
      <c r="B7" s="2"/>
      <c r="C7" s="2"/>
      <c r="D7" s="3"/>
      <c r="E7" s="3"/>
      <c r="G7" s="2"/>
      <c r="H7" s="2"/>
      <c r="I7" s="3"/>
      <c r="J7" s="3"/>
    </row>
    <row r="8" spans="2:15" ht="16" thickBot="1" x14ac:dyDescent="0.25">
      <c r="B8" s="89" t="s">
        <v>1</v>
      </c>
      <c r="C8" s="89"/>
      <c r="D8" s="90"/>
      <c r="E8" s="91"/>
      <c r="G8" s="89" t="s">
        <v>44</v>
      </c>
      <c r="H8" s="89"/>
      <c r="I8" s="90"/>
      <c r="J8" s="91"/>
      <c r="L8" s="89" t="s">
        <v>43</v>
      </c>
      <c r="M8" s="89"/>
      <c r="N8" s="90"/>
      <c r="O8" s="91"/>
    </row>
    <row r="9" spans="2:15" ht="16" thickBot="1" x14ac:dyDescent="0.25">
      <c r="B9" s="2"/>
      <c r="C9" s="2"/>
      <c r="D9" s="3"/>
      <c r="E9" s="3"/>
      <c r="G9" s="3"/>
      <c r="H9" s="3"/>
      <c r="I9" s="3"/>
      <c r="J9" s="3"/>
      <c r="L9" s="3"/>
      <c r="M9" s="3"/>
      <c r="N9" s="3"/>
      <c r="O9" s="3"/>
    </row>
    <row r="10" spans="2:15" ht="15.75" customHeight="1" thickBot="1" x14ac:dyDescent="0.25">
      <c r="B10" s="89" t="s">
        <v>10</v>
      </c>
      <c r="C10" s="89"/>
      <c r="D10" s="94"/>
      <c r="E10" s="95"/>
      <c r="F10" s="95"/>
      <c r="G10" s="95"/>
      <c r="H10" s="5"/>
      <c r="I10" s="5"/>
      <c r="J10" s="6"/>
      <c r="L10" s="96" t="s">
        <v>28</v>
      </c>
      <c r="M10" s="96"/>
      <c r="N10" s="90"/>
      <c r="O10" s="91"/>
    </row>
    <row r="11" spans="2:15" x14ac:dyDescent="0.2">
      <c r="B11" s="2"/>
      <c r="C11" s="2"/>
      <c r="D11" s="3"/>
      <c r="E11" s="3"/>
      <c r="G11" s="3"/>
      <c r="H11" s="3"/>
      <c r="I11" s="3"/>
      <c r="J11" s="3"/>
      <c r="L11" s="96"/>
      <c r="M11" s="96"/>
      <c r="N11" s="3"/>
      <c r="O11" s="3"/>
    </row>
    <row r="12" spans="2:15" x14ac:dyDescent="0.2">
      <c r="L12" s="12"/>
      <c r="M12" s="12"/>
    </row>
    <row r="13" spans="2:15" x14ac:dyDescent="0.2">
      <c r="B13" s="97" t="s">
        <v>29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</row>
    <row r="14" spans="2:15" ht="16" thickBot="1" x14ac:dyDescent="0.25"/>
    <row r="15" spans="2:15" ht="16" thickBot="1" x14ac:dyDescent="0.25">
      <c r="B15" s="89" t="s">
        <v>6</v>
      </c>
      <c r="C15" s="89"/>
      <c r="D15" s="90"/>
      <c r="E15" s="91"/>
      <c r="G15" s="89" t="s">
        <v>7</v>
      </c>
      <c r="H15" s="89"/>
      <c r="I15" s="90"/>
      <c r="J15" s="91"/>
      <c r="L15" s="89" t="s">
        <v>8</v>
      </c>
      <c r="M15" s="89"/>
      <c r="N15" s="90"/>
      <c r="O15" s="91"/>
    </row>
    <row r="16" spans="2:15" ht="16" thickBot="1" x14ac:dyDescent="0.25">
      <c r="B16" s="1"/>
      <c r="C16" s="1"/>
      <c r="G16" s="1"/>
      <c r="H16" s="1"/>
      <c r="L16" s="1"/>
      <c r="M16" s="1"/>
    </row>
    <row r="17" spans="2:15" ht="16" thickBot="1" x14ac:dyDescent="0.25">
      <c r="B17" s="89" t="s">
        <v>45</v>
      </c>
      <c r="C17" s="89"/>
      <c r="D17" s="90"/>
      <c r="E17" s="91"/>
      <c r="G17" s="89" t="s">
        <v>46</v>
      </c>
      <c r="H17" s="89"/>
      <c r="I17" s="98"/>
      <c r="J17" s="91"/>
    </row>
    <row r="18" spans="2:15" x14ac:dyDescent="0.2">
      <c r="B18" s="1"/>
      <c r="C18" s="1"/>
      <c r="G18" s="1"/>
      <c r="H18" s="1"/>
      <c r="L18" s="1"/>
      <c r="M18" s="1"/>
    </row>
    <row r="19" spans="2:15" x14ac:dyDescent="0.2">
      <c r="B19" s="1"/>
      <c r="C19" s="1"/>
      <c r="G19" s="1"/>
      <c r="H19" s="1"/>
      <c r="L19" s="1"/>
      <c r="M19" s="1"/>
    </row>
    <row r="20" spans="2:15" x14ac:dyDescent="0.2">
      <c r="B20" s="1"/>
      <c r="C20" s="1"/>
      <c r="G20" s="1"/>
      <c r="H20" s="1"/>
      <c r="L20" s="1"/>
      <c r="M20" s="1"/>
    </row>
    <row r="21" spans="2:15" x14ac:dyDescent="0.2">
      <c r="B21" s="99" t="s">
        <v>30</v>
      </c>
      <c r="C21" s="99"/>
      <c r="D21" s="99"/>
      <c r="E21" s="99"/>
      <c r="G21" s="1"/>
      <c r="H21" s="1"/>
      <c r="L21" s="1"/>
      <c r="M21" s="1"/>
    </row>
    <row r="22" spans="2:15" ht="16" thickBot="1" x14ac:dyDescent="0.25">
      <c r="B22" s="8"/>
      <c r="C22" s="9"/>
      <c r="G22" s="1"/>
      <c r="H22" s="1"/>
      <c r="L22" s="1"/>
      <c r="M22" s="1"/>
    </row>
    <row r="23" spans="2:15" ht="16" thickBot="1" x14ac:dyDescent="0.25">
      <c r="B23" s="89" t="s">
        <v>1</v>
      </c>
      <c r="C23" s="89"/>
      <c r="D23" s="90"/>
      <c r="E23" s="91"/>
      <c r="G23" s="89" t="s">
        <v>2</v>
      </c>
      <c r="H23" s="89"/>
      <c r="I23" s="90"/>
      <c r="J23" s="91"/>
      <c r="L23" s="89" t="s">
        <v>3</v>
      </c>
      <c r="M23" s="89"/>
      <c r="N23" s="90"/>
      <c r="O23" s="91"/>
    </row>
    <row r="24" spans="2:15" ht="16" thickBot="1" x14ac:dyDescent="0.25">
      <c r="B24" s="2"/>
      <c r="C24" s="2"/>
      <c r="D24" s="7"/>
      <c r="E24" s="7"/>
      <c r="G24" s="2"/>
      <c r="H24" s="2"/>
      <c r="I24" s="7"/>
      <c r="J24" s="7"/>
      <c r="L24" s="2"/>
      <c r="M24" s="2"/>
      <c r="N24" s="7"/>
      <c r="O24" s="7"/>
    </row>
    <row r="25" spans="2:15" ht="16" thickBot="1" x14ac:dyDescent="0.25">
      <c r="B25" s="89" t="s">
        <v>4</v>
      </c>
      <c r="C25" s="89"/>
      <c r="D25" s="90"/>
      <c r="E25" s="91"/>
      <c r="G25" s="89" t="s">
        <v>5</v>
      </c>
      <c r="H25" s="89"/>
      <c r="I25" s="90"/>
      <c r="J25" s="91"/>
      <c r="L25" s="1"/>
      <c r="M25" s="1"/>
    </row>
    <row r="26" spans="2:15" x14ac:dyDescent="0.2">
      <c r="B26" s="2"/>
      <c r="C26" s="2"/>
      <c r="D26" s="7"/>
      <c r="E26" s="7"/>
      <c r="G26" s="2"/>
      <c r="H26" s="2"/>
      <c r="I26" s="7"/>
      <c r="J26" s="7"/>
      <c r="L26" s="1"/>
      <c r="M26" s="1"/>
    </row>
    <row r="27" spans="2:15" x14ac:dyDescent="0.2">
      <c r="B27" s="2"/>
      <c r="C27" s="2"/>
      <c r="D27" s="3"/>
      <c r="E27" s="3"/>
      <c r="G27" s="2"/>
      <c r="H27" s="2"/>
      <c r="I27" s="3"/>
      <c r="J27" s="3"/>
      <c r="L27" s="3"/>
      <c r="M27" s="3"/>
      <c r="N27" s="3"/>
      <c r="O27" s="3"/>
    </row>
    <row r="28" spans="2:15" x14ac:dyDescent="0.2">
      <c r="B28" s="93" t="s">
        <v>31</v>
      </c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</row>
    <row r="29" spans="2:15" ht="16" thickBot="1" x14ac:dyDescent="0.25"/>
    <row r="30" spans="2:15" ht="16" thickBot="1" x14ac:dyDescent="0.25">
      <c r="B30" s="105" t="s">
        <v>51</v>
      </c>
      <c r="C30" s="105"/>
      <c r="D30" s="94"/>
      <c r="E30" s="100"/>
      <c r="F30" s="105" t="s">
        <v>12</v>
      </c>
      <c r="G30" s="105"/>
      <c r="H30" s="94"/>
      <c r="I30" s="100"/>
      <c r="J30" s="105" t="s">
        <v>13</v>
      </c>
      <c r="K30" s="105"/>
      <c r="L30" s="94"/>
      <c r="M30" s="100"/>
    </row>
    <row r="31" spans="2:15" ht="16" thickBot="1" x14ac:dyDescent="0.25"/>
    <row r="32" spans="2:15" ht="16" thickBot="1" x14ac:dyDescent="0.25">
      <c r="B32" s="101" t="s">
        <v>32</v>
      </c>
      <c r="C32" s="101"/>
      <c r="D32" s="94"/>
      <c r="E32" s="100"/>
      <c r="F32" s="102" t="s">
        <v>14</v>
      </c>
      <c r="G32" s="102"/>
      <c r="H32" s="103"/>
      <c r="I32" s="104"/>
      <c r="J32" s="105" t="s">
        <v>15</v>
      </c>
      <c r="K32" s="105"/>
      <c r="L32" s="94"/>
      <c r="M32" s="100"/>
    </row>
    <row r="33" spans="2:13" ht="16" thickBot="1" x14ac:dyDescent="0.25"/>
    <row r="34" spans="2:13" ht="16" thickBot="1" x14ac:dyDescent="0.25">
      <c r="B34" s="101" t="s">
        <v>33</v>
      </c>
      <c r="C34" s="101"/>
      <c r="D34" s="94"/>
      <c r="E34" s="100"/>
    </row>
    <row r="35" spans="2:13" ht="16" thickBot="1" x14ac:dyDescent="0.25"/>
    <row r="36" spans="2:13" ht="16" thickBot="1" x14ac:dyDescent="0.25">
      <c r="B36" s="101" t="s">
        <v>38</v>
      </c>
      <c r="C36" s="101"/>
      <c r="D36" s="94"/>
      <c r="E36" s="100"/>
      <c r="F36" s="101" t="s">
        <v>23</v>
      </c>
      <c r="G36" s="101"/>
      <c r="H36" s="94"/>
      <c r="I36" s="100"/>
      <c r="J36" s="101" t="s">
        <v>40</v>
      </c>
      <c r="K36" s="101"/>
      <c r="L36" s="94"/>
      <c r="M36" s="100"/>
    </row>
    <row r="37" spans="2:13" ht="16" thickBot="1" x14ac:dyDescent="0.25"/>
    <row r="38" spans="2:13" ht="16" thickBot="1" x14ac:dyDescent="0.25">
      <c r="B38" s="101" t="s">
        <v>39</v>
      </c>
      <c r="C38" s="106"/>
      <c r="D38" s="94"/>
      <c r="E38" s="100"/>
      <c r="F38" s="101" t="s">
        <v>24</v>
      </c>
      <c r="G38" s="101"/>
      <c r="H38" s="94"/>
      <c r="I38" s="100"/>
      <c r="J38" s="101" t="s">
        <v>25</v>
      </c>
      <c r="K38" s="101"/>
      <c r="L38" s="94"/>
      <c r="M38" s="100"/>
    </row>
    <row r="40" spans="2:13" ht="16" thickBot="1" x14ac:dyDescent="0.25">
      <c r="F40" s="107"/>
      <c r="G40" s="107"/>
      <c r="H40" s="107"/>
      <c r="I40" s="107"/>
      <c r="J40" s="107"/>
      <c r="K40" s="107"/>
    </row>
    <row r="41" spans="2:13" ht="16" thickBot="1" x14ac:dyDescent="0.25">
      <c r="B41" s="107" t="s">
        <v>34</v>
      </c>
      <c r="C41" s="107"/>
      <c r="D41" s="94"/>
      <c r="E41" s="100"/>
      <c r="F41" s="107" t="s">
        <v>41</v>
      </c>
      <c r="G41" s="107"/>
      <c r="H41" s="94"/>
      <c r="I41" s="100"/>
      <c r="J41" s="107"/>
      <c r="K41" s="107"/>
    </row>
    <row r="42" spans="2:13" x14ac:dyDescent="0.2">
      <c r="B42" s="107"/>
      <c r="C42" s="107"/>
      <c r="D42" s="107"/>
      <c r="E42" s="107"/>
      <c r="F42" s="107"/>
      <c r="G42" s="107"/>
      <c r="H42" s="107"/>
      <c r="I42" s="107"/>
      <c r="J42" s="107"/>
      <c r="K42" s="107"/>
    </row>
    <row r="43" spans="2:13" ht="16" thickBot="1" x14ac:dyDescent="0.25">
      <c r="B43" s="107"/>
      <c r="C43" s="107"/>
      <c r="D43" s="107"/>
      <c r="E43" s="107"/>
      <c r="F43" s="107"/>
      <c r="G43" s="107"/>
      <c r="H43" s="107"/>
      <c r="I43" s="107"/>
      <c r="J43" s="107"/>
      <c r="K43" s="107"/>
    </row>
    <row r="44" spans="2:13" ht="15" customHeight="1" thickBot="1" x14ac:dyDescent="0.25">
      <c r="B44" s="108" t="s">
        <v>42</v>
      </c>
      <c r="C44" s="108"/>
      <c r="D44" s="108"/>
      <c r="E44" s="108"/>
      <c r="F44" s="108"/>
      <c r="G44" s="109"/>
      <c r="H44" s="94"/>
      <c r="I44" s="100"/>
      <c r="J44" s="107"/>
      <c r="K44" s="107"/>
    </row>
    <row r="45" spans="2:13" x14ac:dyDescent="0.2">
      <c r="B45" s="11"/>
      <c r="C45" s="11"/>
      <c r="D45" s="11"/>
      <c r="E45" s="11"/>
      <c r="F45" s="11"/>
      <c r="G45" s="11"/>
      <c r="H45" s="107"/>
      <c r="I45" s="107"/>
      <c r="J45" s="107"/>
      <c r="K45" s="107"/>
    </row>
    <row r="46" spans="2:13" x14ac:dyDescent="0.2">
      <c r="B46" s="107"/>
      <c r="C46" s="107"/>
      <c r="D46" s="107"/>
      <c r="E46" s="107"/>
      <c r="F46" s="107"/>
      <c r="G46" s="107"/>
      <c r="H46" s="107"/>
      <c r="I46" s="107"/>
      <c r="J46" s="107"/>
      <c r="K46" s="107"/>
    </row>
    <row r="47" spans="2:13" x14ac:dyDescent="0.2">
      <c r="B47" s="107"/>
      <c r="C47" s="107"/>
      <c r="D47" s="107"/>
      <c r="E47" s="107"/>
      <c r="F47" s="107"/>
      <c r="G47" s="107"/>
      <c r="H47" s="107"/>
      <c r="I47" s="107"/>
      <c r="J47" s="118"/>
      <c r="K47" s="118"/>
    </row>
    <row r="48" spans="2:13" x14ac:dyDescent="0.2">
      <c r="B48" s="107" t="s">
        <v>11</v>
      </c>
      <c r="C48" s="107"/>
      <c r="D48" s="107"/>
      <c r="E48" s="107"/>
      <c r="F48" s="107"/>
      <c r="G48" s="107"/>
      <c r="H48" s="107"/>
      <c r="I48" s="107"/>
      <c r="J48" s="118"/>
      <c r="K48" s="118"/>
    </row>
    <row r="49" spans="2:13" x14ac:dyDescent="0.2">
      <c r="B49" s="110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2"/>
    </row>
    <row r="50" spans="2:13" x14ac:dyDescent="0.2">
      <c r="B50" s="113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14"/>
    </row>
    <row r="51" spans="2:13" x14ac:dyDescent="0.2">
      <c r="B51" s="113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14"/>
    </row>
    <row r="52" spans="2:13" x14ac:dyDescent="0.2">
      <c r="B52" s="113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14"/>
    </row>
    <row r="53" spans="2:13" x14ac:dyDescent="0.2">
      <c r="B53" s="113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14"/>
    </row>
    <row r="54" spans="2:13" x14ac:dyDescent="0.2">
      <c r="B54" s="113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14"/>
    </row>
    <row r="55" spans="2:13" x14ac:dyDescent="0.2">
      <c r="B55" s="113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14"/>
    </row>
    <row r="56" spans="2:13" x14ac:dyDescent="0.2">
      <c r="B56" s="113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14"/>
    </row>
    <row r="57" spans="2:13" x14ac:dyDescent="0.2">
      <c r="B57" s="113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14"/>
    </row>
    <row r="58" spans="2:13" x14ac:dyDescent="0.2">
      <c r="B58" s="113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14"/>
    </row>
    <row r="59" spans="2:13" x14ac:dyDescent="0.2">
      <c r="B59" s="115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7"/>
    </row>
    <row r="60" spans="2:13" x14ac:dyDescent="0.2">
      <c r="B60" s="107"/>
      <c r="C60" s="107"/>
      <c r="D60" s="107"/>
      <c r="E60" s="107"/>
      <c r="F60" s="107"/>
      <c r="G60" s="107"/>
      <c r="H60" s="107"/>
      <c r="I60" s="107"/>
      <c r="J60" s="107"/>
      <c r="K60" s="107"/>
    </row>
    <row r="61" spans="2:13" x14ac:dyDescent="0.2">
      <c r="B61" s="107"/>
      <c r="C61" s="107"/>
      <c r="D61" s="107"/>
      <c r="E61" s="107"/>
      <c r="F61" s="107"/>
      <c r="G61" s="107"/>
      <c r="H61" s="107"/>
      <c r="I61" s="107"/>
      <c r="J61" s="107"/>
      <c r="K61" s="107"/>
    </row>
    <row r="62" spans="2:13" x14ac:dyDescent="0.2">
      <c r="B62" s="107"/>
      <c r="C62" s="107"/>
      <c r="D62" s="107"/>
      <c r="E62" s="107"/>
      <c r="F62" s="107"/>
      <c r="G62" s="107"/>
      <c r="H62" s="107"/>
      <c r="I62" s="107"/>
      <c r="J62" s="107"/>
      <c r="K62" s="107"/>
    </row>
    <row r="63" spans="2:13" x14ac:dyDescent="0.2">
      <c r="B63" s="107"/>
      <c r="C63" s="107"/>
      <c r="D63" s="107"/>
      <c r="E63" s="107"/>
      <c r="F63" s="107"/>
      <c r="G63" s="107"/>
      <c r="H63" s="107"/>
      <c r="I63" s="107"/>
      <c r="J63" s="107"/>
      <c r="K63" s="107"/>
    </row>
    <row r="64" spans="2:13" x14ac:dyDescent="0.2">
      <c r="B64" s="107"/>
      <c r="C64" s="107"/>
      <c r="D64" s="107"/>
      <c r="E64" s="107"/>
      <c r="F64" s="107"/>
      <c r="G64" s="107"/>
      <c r="H64" s="107"/>
      <c r="I64" s="107"/>
      <c r="J64" s="107"/>
      <c r="K64" s="107"/>
    </row>
    <row r="65" spans="2:11" x14ac:dyDescent="0.2">
      <c r="B65" s="107"/>
      <c r="C65" s="107"/>
      <c r="D65" s="107"/>
      <c r="E65" s="107"/>
      <c r="F65" s="107"/>
      <c r="G65" s="107"/>
      <c r="H65" s="107"/>
      <c r="I65" s="107"/>
      <c r="J65" s="107"/>
      <c r="K65" s="107"/>
    </row>
    <row r="66" spans="2:11" x14ac:dyDescent="0.2">
      <c r="B66" s="107"/>
      <c r="C66" s="107"/>
      <c r="D66" s="107"/>
      <c r="E66" s="107"/>
      <c r="F66" s="107"/>
      <c r="G66" s="107"/>
      <c r="H66" s="107"/>
      <c r="I66" s="107"/>
      <c r="J66" s="107"/>
      <c r="K66" s="107"/>
    </row>
    <row r="67" spans="2:11" x14ac:dyDescent="0.2">
      <c r="B67" s="107"/>
      <c r="C67" s="107"/>
      <c r="D67" s="107"/>
      <c r="E67" s="107"/>
      <c r="F67" s="107"/>
      <c r="G67" s="107"/>
      <c r="H67" s="107"/>
      <c r="I67" s="107"/>
      <c r="J67" s="107"/>
      <c r="K67" s="107"/>
    </row>
    <row r="68" spans="2:11" x14ac:dyDescent="0.2">
      <c r="B68" s="107"/>
      <c r="C68" s="107"/>
      <c r="D68" s="107"/>
      <c r="E68" s="107"/>
      <c r="F68" s="107"/>
      <c r="G68" s="107"/>
      <c r="H68" s="107"/>
      <c r="I68" s="107"/>
      <c r="J68" s="107"/>
      <c r="K68" s="107"/>
    </row>
    <row r="69" spans="2:11" x14ac:dyDescent="0.2">
      <c r="B69" s="107"/>
      <c r="C69" s="107"/>
      <c r="D69" s="107"/>
      <c r="E69" s="107"/>
      <c r="F69" s="107"/>
      <c r="G69" s="107"/>
      <c r="H69" s="107"/>
      <c r="I69" s="107"/>
      <c r="J69" s="107"/>
      <c r="K69" s="107"/>
    </row>
    <row r="70" spans="2:11" x14ac:dyDescent="0.2">
      <c r="B70" s="107"/>
      <c r="C70" s="107"/>
      <c r="D70" s="107"/>
      <c r="E70" s="107"/>
      <c r="F70" s="107"/>
      <c r="G70" s="107"/>
      <c r="H70" s="107"/>
      <c r="I70" s="107"/>
      <c r="J70" s="107"/>
      <c r="K70" s="107"/>
    </row>
    <row r="71" spans="2:11" x14ac:dyDescent="0.2">
      <c r="B71" s="107"/>
      <c r="C71" s="107"/>
      <c r="D71" s="107"/>
      <c r="E71" s="107"/>
      <c r="F71" s="107"/>
      <c r="G71" s="107"/>
      <c r="H71" s="107"/>
      <c r="I71" s="107"/>
      <c r="J71" s="107"/>
      <c r="K71" s="107"/>
    </row>
    <row r="72" spans="2:11" x14ac:dyDescent="0.2">
      <c r="B72" s="107"/>
      <c r="C72" s="107"/>
      <c r="D72" s="107"/>
      <c r="E72" s="107"/>
      <c r="F72" s="107"/>
      <c r="G72" s="107"/>
      <c r="H72" s="107"/>
      <c r="I72" s="107"/>
      <c r="J72" s="107"/>
      <c r="K72" s="107"/>
    </row>
    <row r="73" spans="2:11" x14ac:dyDescent="0.2">
      <c r="B73" s="107"/>
      <c r="C73" s="107"/>
      <c r="D73" s="107"/>
      <c r="E73" s="107"/>
      <c r="F73" s="107"/>
      <c r="G73" s="107"/>
      <c r="H73" s="107"/>
      <c r="I73" s="107"/>
      <c r="J73" s="107"/>
      <c r="K73" s="107"/>
    </row>
    <row r="74" spans="2:11" x14ac:dyDescent="0.2">
      <c r="B74" s="107"/>
      <c r="C74" s="107"/>
      <c r="D74" s="107"/>
      <c r="E74" s="107"/>
      <c r="F74" s="107"/>
      <c r="G74" s="107"/>
      <c r="H74" s="107"/>
      <c r="I74" s="107"/>
      <c r="J74" s="107"/>
      <c r="K74" s="107"/>
    </row>
    <row r="75" spans="2:11" x14ac:dyDescent="0.2">
      <c r="B75" s="107"/>
      <c r="C75" s="107"/>
      <c r="D75" s="107"/>
      <c r="E75" s="107"/>
      <c r="F75" s="107"/>
      <c r="G75" s="107"/>
      <c r="H75" s="107"/>
      <c r="I75" s="107"/>
      <c r="J75" s="107"/>
      <c r="K75" s="107"/>
    </row>
    <row r="76" spans="2:11" x14ac:dyDescent="0.2">
      <c r="B76" s="107"/>
      <c r="C76" s="107"/>
      <c r="D76" s="107"/>
      <c r="E76" s="107"/>
      <c r="F76" s="107"/>
      <c r="G76" s="107"/>
      <c r="H76" s="107"/>
      <c r="I76" s="107"/>
      <c r="J76" s="107"/>
      <c r="K76" s="107"/>
    </row>
    <row r="77" spans="2:11" x14ac:dyDescent="0.2">
      <c r="B77" s="107"/>
      <c r="C77" s="107"/>
      <c r="D77" s="107"/>
      <c r="E77" s="107"/>
      <c r="F77" s="107"/>
      <c r="G77" s="107"/>
      <c r="H77" s="107"/>
      <c r="I77" s="107"/>
      <c r="J77" s="107"/>
      <c r="K77" s="107"/>
    </row>
    <row r="78" spans="2:11" x14ac:dyDescent="0.2">
      <c r="B78" s="107"/>
      <c r="C78" s="107"/>
      <c r="D78" s="107"/>
      <c r="E78" s="107"/>
      <c r="F78" s="107"/>
      <c r="G78" s="107"/>
      <c r="H78" s="107"/>
      <c r="I78" s="107"/>
      <c r="J78" s="107"/>
      <c r="K78" s="107"/>
    </row>
    <row r="79" spans="2:11" x14ac:dyDescent="0.2">
      <c r="B79" s="107"/>
      <c r="C79" s="107"/>
      <c r="D79" s="107"/>
      <c r="E79" s="107"/>
      <c r="F79" s="107"/>
      <c r="G79" s="107"/>
      <c r="H79" s="107"/>
      <c r="I79" s="107"/>
      <c r="J79" s="107"/>
      <c r="K79" s="107"/>
    </row>
    <row r="80" spans="2:11" x14ac:dyDescent="0.2">
      <c r="B80" s="107"/>
      <c r="C80" s="107"/>
      <c r="D80" s="107"/>
      <c r="E80" s="107"/>
      <c r="F80" s="107"/>
      <c r="G80" s="107"/>
      <c r="H80" s="107"/>
      <c r="I80" s="107"/>
      <c r="J80" s="107"/>
      <c r="K80" s="107"/>
    </row>
    <row r="81" spans="2:11" x14ac:dyDescent="0.2">
      <c r="B81" s="107"/>
      <c r="C81" s="107"/>
      <c r="D81" s="107"/>
      <c r="E81" s="107"/>
      <c r="F81" s="107"/>
      <c r="G81" s="107"/>
      <c r="H81" s="107"/>
      <c r="I81" s="107"/>
      <c r="J81" s="107"/>
      <c r="K81" s="107"/>
    </row>
    <row r="82" spans="2:11" x14ac:dyDescent="0.2">
      <c r="B82" s="107"/>
      <c r="C82" s="107"/>
      <c r="D82" s="107"/>
      <c r="E82" s="107"/>
      <c r="F82" s="107"/>
      <c r="G82" s="107"/>
      <c r="H82" s="107"/>
      <c r="I82" s="107"/>
      <c r="J82" s="107"/>
      <c r="K82" s="107"/>
    </row>
    <row r="83" spans="2:11" x14ac:dyDescent="0.2">
      <c r="B83" s="107"/>
      <c r="C83" s="107"/>
      <c r="D83" s="107"/>
      <c r="E83" s="107"/>
      <c r="F83" s="107"/>
      <c r="G83" s="107"/>
      <c r="H83" s="107"/>
      <c r="I83" s="107"/>
      <c r="J83" s="107"/>
      <c r="K83" s="107"/>
    </row>
    <row r="84" spans="2:11" x14ac:dyDescent="0.2">
      <c r="B84" s="107"/>
      <c r="C84" s="107"/>
      <c r="D84" s="107"/>
      <c r="E84" s="107"/>
      <c r="F84" s="107"/>
      <c r="G84" s="107"/>
      <c r="H84" s="107"/>
      <c r="I84" s="107"/>
      <c r="J84" s="107"/>
      <c r="K84" s="107"/>
    </row>
    <row r="85" spans="2:11" x14ac:dyDescent="0.2">
      <c r="B85" s="107"/>
      <c r="C85" s="107"/>
      <c r="D85" s="107"/>
      <c r="E85" s="107"/>
      <c r="F85" s="107"/>
      <c r="G85" s="107"/>
      <c r="H85" s="107"/>
      <c r="I85" s="107"/>
      <c r="J85" s="107"/>
      <c r="K85" s="107"/>
    </row>
    <row r="86" spans="2:11" x14ac:dyDescent="0.2">
      <c r="B86" s="107"/>
      <c r="C86" s="107"/>
      <c r="D86" s="107"/>
      <c r="E86" s="107"/>
      <c r="F86" s="107"/>
      <c r="G86" s="107"/>
      <c r="H86" s="107"/>
      <c r="I86" s="107"/>
      <c r="J86" s="107"/>
      <c r="K86" s="107"/>
    </row>
    <row r="87" spans="2:11" x14ac:dyDescent="0.2">
      <c r="B87" s="107"/>
      <c r="C87" s="107"/>
      <c r="D87" s="107"/>
      <c r="E87" s="107"/>
      <c r="F87" s="107"/>
      <c r="G87" s="107"/>
      <c r="H87" s="107"/>
      <c r="I87" s="107"/>
      <c r="J87" s="107"/>
      <c r="K87" s="107"/>
    </row>
    <row r="88" spans="2:11" x14ac:dyDescent="0.2">
      <c r="B88" s="107"/>
      <c r="C88" s="107"/>
      <c r="D88" s="107"/>
      <c r="E88" s="107"/>
      <c r="F88" s="107"/>
      <c r="G88" s="107"/>
      <c r="H88" s="107"/>
      <c r="I88" s="107"/>
      <c r="J88" s="107"/>
      <c r="K88" s="107"/>
    </row>
    <row r="89" spans="2:11" x14ac:dyDescent="0.2">
      <c r="B89" s="107"/>
      <c r="C89" s="107"/>
      <c r="D89" s="107"/>
      <c r="E89" s="107"/>
      <c r="F89" s="107"/>
      <c r="G89" s="107"/>
      <c r="H89" s="107"/>
      <c r="I89" s="107"/>
      <c r="J89" s="107"/>
      <c r="K89" s="107"/>
    </row>
    <row r="90" spans="2:11" x14ac:dyDescent="0.2">
      <c r="B90" s="107"/>
      <c r="C90" s="107"/>
      <c r="D90" s="107"/>
      <c r="E90" s="107"/>
      <c r="F90" s="107"/>
      <c r="G90" s="107"/>
      <c r="H90" s="107"/>
      <c r="I90" s="107"/>
      <c r="J90" s="107"/>
      <c r="K90" s="107"/>
    </row>
    <row r="91" spans="2:11" x14ac:dyDescent="0.2">
      <c r="B91" s="107"/>
      <c r="C91" s="107"/>
      <c r="D91" s="107"/>
      <c r="E91" s="107"/>
      <c r="F91" s="107"/>
      <c r="G91" s="107"/>
      <c r="H91" s="107"/>
      <c r="I91" s="107"/>
      <c r="J91" s="107"/>
      <c r="K91" s="107"/>
    </row>
    <row r="92" spans="2:11" x14ac:dyDescent="0.2">
      <c r="B92" s="107"/>
      <c r="C92" s="107"/>
      <c r="D92" s="107"/>
      <c r="E92" s="107"/>
      <c r="F92" s="107"/>
      <c r="G92" s="107"/>
      <c r="H92" s="107"/>
      <c r="I92" s="107"/>
      <c r="J92" s="107"/>
      <c r="K92" s="107"/>
    </row>
    <row r="93" spans="2:11" x14ac:dyDescent="0.2">
      <c r="B93" s="107"/>
      <c r="C93" s="107"/>
      <c r="D93" s="107"/>
      <c r="E93" s="107"/>
      <c r="F93" s="107"/>
      <c r="G93" s="107"/>
      <c r="H93" s="107"/>
      <c r="I93" s="107"/>
      <c r="J93" s="107"/>
      <c r="K93" s="107"/>
    </row>
    <row r="94" spans="2:11" x14ac:dyDescent="0.2">
      <c r="B94" s="107"/>
      <c r="C94" s="107"/>
      <c r="D94" s="107"/>
      <c r="E94" s="107"/>
      <c r="F94" s="107"/>
      <c r="G94" s="107"/>
      <c r="H94" s="107"/>
      <c r="I94" s="107"/>
      <c r="J94" s="107"/>
      <c r="K94" s="107"/>
    </row>
  </sheetData>
  <mergeCells count="279"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89:C89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J86:K86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49:M59"/>
    <mergeCell ref="B60:C60"/>
    <mergeCell ref="D60:E60"/>
    <mergeCell ref="F60:G60"/>
    <mergeCell ref="H60:I60"/>
    <mergeCell ref="J60:K60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4:G44"/>
    <mergeCell ref="H44:I44"/>
    <mergeCell ref="J44:K44"/>
    <mergeCell ref="H45:I45"/>
    <mergeCell ref="J45:K45"/>
    <mergeCell ref="B46:C46"/>
    <mergeCell ref="D46:E46"/>
    <mergeCell ref="F46:G46"/>
    <mergeCell ref="H46:I46"/>
    <mergeCell ref="J46:K46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F40:G40"/>
    <mergeCell ref="H40:I40"/>
    <mergeCell ref="J40:K40"/>
    <mergeCell ref="B41:C41"/>
    <mergeCell ref="D41:E41"/>
    <mergeCell ref="F41:G41"/>
    <mergeCell ref="H41:I41"/>
    <mergeCell ref="J41:K41"/>
    <mergeCell ref="J36:K36"/>
    <mergeCell ref="L36:M36"/>
    <mergeCell ref="B38:C38"/>
    <mergeCell ref="D38:E38"/>
    <mergeCell ref="F38:G38"/>
    <mergeCell ref="H38:I38"/>
    <mergeCell ref="J38:K38"/>
    <mergeCell ref="L38:M38"/>
    <mergeCell ref="B34:C34"/>
    <mergeCell ref="D34:E34"/>
    <mergeCell ref="B36:C36"/>
    <mergeCell ref="D36:E36"/>
    <mergeCell ref="F36:G36"/>
    <mergeCell ref="H36:I36"/>
    <mergeCell ref="L30:M30"/>
    <mergeCell ref="B32:C32"/>
    <mergeCell ref="D32:E32"/>
    <mergeCell ref="F32:G32"/>
    <mergeCell ref="H32:I32"/>
    <mergeCell ref="J32:K32"/>
    <mergeCell ref="L32:M32"/>
    <mergeCell ref="B25:C25"/>
    <mergeCell ref="D25:E25"/>
    <mergeCell ref="G25:H25"/>
    <mergeCell ref="I25:J25"/>
    <mergeCell ref="B28:O28"/>
    <mergeCell ref="B30:C30"/>
    <mergeCell ref="D30:E30"/>
    <mergeCell ref="F30:G30"/>
    <mergeCell ref="H30:I30"/>
    <mergeCell ref="J30:K30"/>
    <mergeCell ref="B23:C23"/>
    <mergeCell ref="D23:E23"/>
    <mergeCell ref="G23:H23"/>
    <mergeCell ref="I23:J23"/>
    <mergeCell ref="L23:M23"/>
    <mergeCell ref="N23:O23"/>
    <mergeCell ref="N15:O15"/>
    <mergeCell ref="B17:C17"/>
    <mergeCell ref="D17:E17"/>
    <mergeCell ref="G17:H17"/>
    <mergeCell ref="I17:J17"/>
    <mergeCell ref="B21:E21"/>
    <mergeCell ref="B10:C10"/>
    <mergeCell ref="D10:G10"/>
    <mergeCell ref="L10:M11"/>
    <mergeCell ref="N10:O10"/>
    <mergeCell ref="B13:O13"/>
    <mergeCell ref="B15:C15"/>
    <mergeCell ref="D15:E15"/>
    <mergeCell ref="G15:H15"/>
    <mergeCell ref="I15:J15"/>
    <mergeCell ref="L15:M15"/>
    <mergeCell ref="B8:C8"/>
    <mergeCell ref="D8:E8"/>
    <mergeCell ref="G8:H8"/>
    <mergeCell ref="I8:J8"/>
    <mergeCell ref="L8:M8"/>
    <mergeCell ref="N8:O8"/>
    <mergeCell ref="B2:O2"/>
    <mergeCell ref="B4:O4"/>
    <mergeCell ref="B6:C6"/>
    <mergeCell ref="D6:E6"/>
    <mergeCell ref="G6:H6"/>
    <mergeCell ref="I6:J6"/>
  </mergeCells>
  <dataValidations count="1">
    <dataValidation type="list" allowBlank="1" showInputMessage="1" showErrorMessage="1" sqref="H44:I44" xr:uid="{00000000-0002-0000-0000-000000000000}">
      <formula1>$B$16:$B$17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1000000}">
          <x14:formula1>
            <xm:f>check!$B$6:$B$7</xm:f>
          </x14:formula1>
          <xm:sqref>D30:E30</xm:sqref>
        </x14:dataValidation>
        <x14:dataValidation type="list" allowBlank="1" showInputMessage="1" showErrorMessage="1" xr:uid="{00000000-0002-0000-0000-000002000000}">
          <x14:formula1>
            <xm:f>check!$F$6:$F$10</xm:f>
          </x14:formula1>
          <xm:sqref>D32:E32</xm:sqref>
        </x14:dataValidation>
        <x14:dataValidation type="list" allowBlank="1" showInputMessage="1" showErrorMessage="1" xr:uid="{00000000-0002-0000-0000-000003000000}">
          <x14:formula1>
            <xm:f>check!$B$16:$B$18</xm:f>
          </x14:formula1>
          <xm:sqref>H30:I30</xm:sqref>
        </x14:dataValidation>
        <x14:dataValidation type="list" allowBlank="1" showInputMessage="1" showErrorMessage="1" xr:uid="{00000000-0002-0000-0000-000004000000}">
          <x14:formula1>
            <xm:f>check!$B$22:$B$23</xm:f>
          </x14:formula1>
          <xm:sqref>L30:M30</xm:sqref>
        </x14:dataValidation>
        <x14:dataValidation type="list" allowBlank="1" showInputMessage="1" showErrorMessage="1" xr:uid="{00000000-0002-0000-0000-000005000000}">
          <x14:formula1>
            <xm:f>check!$B$27:$B$29</xm:f>
          </x14:formula1>
          <xm:sqref>H32:I32</xm:sqref>
        </x14:dataValidation>
        <x14:dataValidation type="list" allowBlank="1" showInputMessage="1" showErrorMessage="1" xr:uid="{00000000-0002-0000-0000-000006000000}">
          <x14:formula1>
            <xm:f>check!$B$16:$B$17</xm:f>
          </x14:formula1>
          <xm:sqref>D41:E41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V42"/>
  <sheetViews>
    <sheetView showGridLines="0" topLeftCell="A4" zoomScaleNormal="100" workbookViewId="0"/>
  </sheetViews>
  <sheetFormatPr baseColWidth="10" defaultColWidth="0" defaultRowHeight="15" zeroHeight="1" x14ac:dyDescent="0.2"/>
  <cols>
    <col min="1" max="15" width="11.5" style="55" customWidth="1"/>
    <col min="16" max="16" width="9.83203125" style="55" customWidth="1"/>
    <col min="17" max="17" width="11.5" customWidth="1"/>
    <col min="18" max="18" width="6.1640625" hidden="1" customWidth="1"/>
    <col min="19" max="16384" width="11.5" hidden="1"/>
  </cols>
  <sheetData>
    <row r="1" spans="17:22" s="55" customFormat="1" x14ac:dyDescent="0.2"/>
    <row r="2" spans="17:22" s="55" customFormat="1" x14ac:dyDescent="0.2"/>
    <row r="3" spans="17:22" s="55" customFormat="1" x14ac:dyDescent="0.2"/>
    <row r="4" spans="17:22" s="55" customFormat="1" x14ac:dyDescent="0.2"/>
    <row r="5" spans="17:22" s="55" customFormat="1" x14ac:dyDescent="0.2"/>
    <row r="6" spans="17:22" s="55" customFormat="1" x14ac:dyDescent="0.2"/>
    <row r="7" spans="17:22" s="55" customFormat="1" x14ac:dyDescent="0.2"/>
    <row r="8" spans="17:22" s="55" customFormat="1" x14ac:dyDescent="0.2"/>
    <row r="9" spans="17:22" x14ac:dyDescent="0.2">
      <c r="Q9" s="55"/>
      <c r="R9" s="55"/>
      <c r="S9" s="55"/>
      <c r="T9" s="55"/>
      <c r="U9" s="55"/>
      <c r="V9" s="55"/>
    </row>
    <row r="10" spans="17:22" x14ac:dyDescent="0.2">
      <c r="Q10" s="55"/>
      <c r="R10" s="55"/>
      <c r="S10" s="55"/>
      <c r="T10" s="55"/>
      <c r="U10" s="55"/>
      <c r="V10" s="55"/>
    </row>
    <row r="11" spans="17:22" x14ac:dyDescent="0.2">
      <c r="Q11" s="55"/>
      <c r="R11" s="55"/>
      <c r="S11" s="55"/>
      <c r="T11" s="55"/>
      <c r="U11" s="55"/>
      <c r="V11" s="55"/>
    </row>
    <row r="12" spans="17:22" x14ac:dyDescent="0.2">
      <c r="Q12" s="55"/>
      <c r="R12" s="55"/>
      <c r="S12" s="55"/>
      <c r="T12" s="55"/>
      <c r="U12" s="55"/>
      <c r="V12" s="55"/>
    </row>
    <row r="13" spans="17:22" x14ac:dyDescent="0.2">
      <c r="Q13" s="55"/>
      <c r="R13" s="55"/>
      <c r="S13" s="55"/>
      <c r="T13" s="55"/>
      <c r="U13" s="55"/>
      <c r="V13" s="55"/>
    </row>
    <row r="14" spans="17:22" x14ac:dyDescent="0.2">
      <c r="Q14" s="55"/>
      <c r="R14" s="55"/>
      <c r="S14" s="55"/>
      <c r="T14" s="55"/>
      <c r="U14" s="55"/>
      <c r="V14" s="55"/>
    </row>
    <row r="15" spans="17:22" x14ac:dyDescent="0.2">
      <c r="Q15" s="55"/>
      <c r="R15" s="55"/>
      <c r="S15" s="55"/>
      <c r="T15" s="55"/>
      <c r="U15" s="55"/>
      <c r="V15" s="55"/>
    </row>
    <row r="16" spans="17:22" x14ac:dyDescent="0.2">
      <c r="Q16" s="55"/>
      <c r="R16" s="55"/>
      <c r="S16" s="55"/>
      <c r="T16" s="55"/>
      <c r="U16" s="55"/>
      <c r="V16" s="55"/>
    </row>
    <row r="17" spans="17:22" x14ac:dyDescent="0.2">
      <c r="Q17" s="55"/>
      <c r="R17" s="55"/>
      <c r="S17" s="55"/>
      <c r="T17" s="55"/>
      <c r="U17" s="55"/>
      <c r="V17" s="55"/>
    </row>
    <row r="18" spans="17:22" x14ac:dyDescent="0.2">
      <c r="Q18" s="55"/>
      <c r="R18" s="55"/>
      <c r="S18" s="55"/>
      <c r="T18" s="55"/>
      <c r="U18" s="55"/>
      <c r="V18" s="55"/>
    </row>
    <row r="19" spans="17:22" x14ac:dyDescent="0.2">
      <c r="Q19" s="55"/>
      <c r="R19" s="55"/>
      <c r="S19" s="55"/>
      <c r="T19" s="55"/>
      <c r="U19" s="55"/>
      <c r="V19" s="55"/>
    </row>
    <row r="20" spans="17:22" x14ac:dyDescent="0.2">
      <c r="Q20" s="55"/>
      <c r="R20" s="55"/>
      <c r="S20" s="55"/>
      <c r="T20" s="55"/>
      <c r="U20" s="55"/>
      <c r="V20" s="55"/>
    </row>
    <row r="21" spans="17:22" x14ac:dyDescent="0.2">
      <c r="Q21" s="55"/>
      <c r="R21" s="55"/>
      <c r="S21" s="55"/>
      <c r="T21" s="55"/>
      <c r="U21" s="55"/>
      <c r="V21" s="55"/>
    </row>
    <row r="22" spans="17:22" x14ac:dyDescent="0.2">
      <c r="Q22" s="55"/>
      <c r="R22" s="55"/>
      <c r="S22" s="55"/>
      <c r="T22" s="55"/>
      <c r="U22" s="55"/>
      <c r="V22" s="55"/>
    </row>
    <row r="23" spans="17:22" x14ac:dyDescent="0.2">
      <c r="Q23" s="55"/>
      <c r="R23" s="55"/>
      <c r="S23" s="55"/>
      <c r="T23" s="55"/>
      <c r="U23" s="55"/>
      <c r="V23" s="55"/>
    </row>
    <row r="24" spans="17:22" x14ac:dyDescent="0.2">
      <c r="Q24" s="55"/>
      <c r="R24" s="55"/>
      <c r="S24" s="55"/>
      <c r="T24" s="55"/>
      <c r="U24" s="55"/>
      <c r="V24" s="55"/>
    </row>
    <row r="25" spans="17:22" x14ac:dyDescent="0.2">
      <c r="Q25" s="55"/>
      <c r="R25" s="55"/>
      <c r="S25" s="55"/>
      <c r="T25" s="55"/>
      <c r="U25" s="55"/>
      <c r="V25" s="55"/>
    </row>
    <row r="26" spans="17:22" x14ac:dyDescent="0.2">
      <c r="Q26" s="55"/>
      <c r="R26" s="55"/>
      <c r="S26" s="55"/>
      <c r="T26" s="55"/>
      <c r="U26" s="55"/>
      <c r="V26" s="55"/>
    </row>
    <row r="27" spans="17:22" x14ac:dyDescent="0.2">
      <c r="Q27" s="55"/>
      <c r="R27" s="55"/>
      <c r="S27" s="55"/>
      <c r="T27" s="55"/>
      <c r="U27" s="55"/>
      <c r="V27" s="55"/>
    </row>
    <row r="28" spans="17:22" x14ac:dyDescent="0.2">
      <c r="Q28" s="55"/>
      <c r="R28" s="55"/>
      <c r="S28" s="55"/>
      <c r="T28" s="55"/>
      <c r="U28" s="55"/>
      <c r="V28" s="55"/>
    </row>
    <row r="29" spans="17:22" x14ac:dyDescent="0.2">
      <c r="Q29" s="55"/>
      <c r="R29" s="55"/>
      <c r="S29" s="55"/>
      <c r="T29" s="55"/>
      <c r="U29" s="55"/>
      <c r="V29" s="55"/>
    </row>
    <row r="30" spans="17:22" x14ac:dyDescent="0.2">
      <c r="Q30" s="55"/>
      <c r="R30" s="55"/>
      <c r="S30" s="55"/>
      <c r="T30" s="55"/>
      <c r="U30" s="55"/>
      <c r="V30" s="55"/>
    </row>
    <row r="31" spans="17:22" x14ac:dyDescent="0.2">
      <c r="Q31" s="55"/>
      <c r="R31" s="55"/>
      <c r="S31" s="55"/>
      <c r="T31" s="55"/>
      <c r="U31" s="55"/>
      <c r="V31" s="55"/>
    </row>
    <row r="32" spans="17:22" x14ac:dyDescent="0.2">
      <c r="Q32" s="55"/>
      <c r="R32" s="55"/>
      <c r="S32" s="55"/>
      <c r="T32" s="55"/>
      <c r="U32" s="55"/>
      <c r="V32" s="55"/>
    </row>
    <row r="33" spans="17:22" x14ac:dyDescent="0.2">
      <c r="Q33" s="55"/>
      <c r="R33" s="55"/>
      <c r="S33" s="55"/>
      <c r="T33" s="55"/>
      <c r="U33" s="55"/>
      <c r="V33" s="55"/>
    </row>
    <row r="34" spans="17:22" x14ac:dyDescent="0.2">
      <c r="Q34" s="55"/>
      <c r="R34" s="55"/>
      <c r="S34" s="55"/>
      <c r="T34" s="55"/>
      <c r="U34" s="55"/>
      <c r="V34" s="55"/>
    </row>
    <row r="35" spans="17:22" x14ac:dyDescent="0.2">
      <c r="Q35" s="55"/>
      <c r="R35" s="55"/>
      <c r="S35" s="55"/>
      <c r="T35" s="55"/>
      <c r="U35" s="55"/>
      <c r="V35" s="55"/>
    </row>
    <row r="36" spans="17:22" x14ac:dyDescent="0.2">
      <c r="Q36" s="55"/>
      <c r="R36" s="55"/>
      <c r="S36" s="55"/>
      <c r="T36" s="55"/>
      <c r="U36" s="55"/>
      <c r="V36" s="55"/>
    </row>
    <row r="37" spans="17:22" x14ac:dyDescent="0.2">
      <c r="Q37" s="55"/>
      <c r="R37" s="55"/>
      <c r="S37" s="55"/>
      <c r="T37" s="55"/>
      <c r="U37" s="55"/>
      <c r="V37" s="55"/>
    </row>
    <row r="38" spans="17:22" x14ac:dyDescent="0.2">
      <c r="Q38" s="55"/>
      <c r="R38" s="55"/>
      <c r="S38" s="55"/>
      <c r="T38" s="55"/>
      <c r="U38" s="55"/>
      <c r="V38" s="55"/>
    </row>
    <row r="39" spans="17:22" x14ac:dyDescent="0.2">
      <c r="Q39" s="55"/>
      <c r="R39" s="55"/>
      <c r="S39" s="55"/>
      <c r="T39" s="55"/>
      <c r="U39" s="55"/>
      <c r="V39" s="55"/>
    </row>
    <row r="40" spans="17:22" x14ac:dyDescent="0.2">
      <c r="Q40" s="55"/>
      <c r="R40" s="55"/>
      <c r="S40" s="55"/>
      <c r="T40" s="55"/>
      <c r="U40" s="55"/>
      <c r="V40" s="55"/>
    </row>
    <row r="41" spans="17:22" x14ac:dyDescent="0.2">
      <c r="Q41" s="55"/>
      <c r="R41" s="55"/>
      <c r="S41" s="55"/>
      <c r="T41" s="55"/>
      <c r="U41" s="55"/>
      <c r="V41" s="55"/>
    </row>
    <row r="42" spans="17:22" hidden="1" x14ac:dyDescent="0.2">
      <c r="Q42" s="32"/>
      <c r="R42" s="32"/>
      <c r="S42" s="32"/>
      <c r="T42" s="32"/>
      <c r="U42" s="32"/>
      <c r="V42" s="32"/>
    </row>
  </sheetData>
  <sheetProtection selectLockedCells="1" selectUnlockedCell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P120"/>
  <sheetViews>
    <sheetView showGridLines="0" tabSelected="1" zoomScaleNormal="100" workbookViewId="0">
      <selection activeCell="B54" sqref="B54:M64"/>
    </sheetView>
  </sheetViews>
  <sheetFormatPr baseColWidth="10" defaultColWidth="0" defaultRowHeight="15" zeroHeight="1" x14ac:dyDescent="0.2"/>
  <cols>
    <col min="1" max="1" width="5" customWidth="1"/>
    <col min="2" max="2" width="16.1640625" customWidth="1"/>
    <col min="3" max="3" width="21.6640625" customWidth="1"/>
    <col min="4" max="4" width="8.33203125" customWidth="1"/>
    <col min="5" max="5" width="15.33203125" customWidth="1"/>
    <col min="6" max="9" width="14.5" customWidth="1"/>
    <col min="10" max="10" width="14" customWidth="1"/>
    <col min="11" max="11" width="16.83203125" customWidth="1"/>
    <col min="12" max="15" width="14.5" customWidth="1"/>
    <col min="16" max="16" width="1.6640625" customWidth="1"/>
    <col min="17" max="16384" width="11.5" hidden="1"/>
  </cols>
  <sheetData>
    <row r="1" spans="1:15" x14ac:dyDescent="0.2"/>
    <row r="2" spans="1:15" x14ac:dyDescent="0.2"/>
    <row r="3" spans="1:15" ht="29.25" customHeight="1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26.25" customHeight="1" x14ac:dyDescent="0.3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ht="26.25" customHeight="1" x14ac:dyDescent="0.2">
      <c r="B5" s="119" t="s">
        <v>9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</row>
    <row r="6" spans="1:15" ht="26.25" customHeight="1" x14ac:dyDescent="0.2">
      <c r="B6" s="3"/>
      <c r="C6" s="3"/>
      <c r="D6" s="3"/>
      <c r="E6" s="3"/>
      <c r="G6" s="3"/>
      <c r="H6" s="3"/>
      <c r="I6" s="3"/>
      <c r="J6" s="3"/>
      <c r="L6" s="3"/>
      <c r="M6" s="3"/>
      <c r="N6" s="3"/>
      <c r="O6" s="3"/>
    </row>
    <row r="7" spans="1:15" ht="26.25" customHeight="1" x14ac:dyDescent="0.2">
      <c r="B7" s="30" t="s">
        <v>83</v>
      </c>
      <c r="C7" s="30"/>
      <c r="D7" s="13"/>
      <c r="E7" s="30" t="s">
        <v>85</v>
      </c>
      <c r="F7" s="30"/>
      <c r="G7" s="13"/>
      <c r="H7" s="30" t="s">
        <v>109</v>
      </c>
      <c r="I7" s="30"/>
      <c r="J7" s="13"/>
      <c r="K7" s="17"/>
    </row>
    <row r="8" spans="1:15" ht="26.25" customHeight="1" thickBot="1" x14ac:dyDescent="0.25">
      <c r="B8" s="120"/>
      <c r="C8" s="121"/>
      <c r="D8" s="17"/>
      <c r="E8" s="120"/>
      <c r="F8" s="121"/>
      <c r="G8" s="25"/>
      <c r="H8" s="120"/>
      <c r="I8" s="121"/>
      <c r="J8" s="17"/>
      <c r="K8" s="17"/>
    </row>
    <row r="9" spans="1:15" ht="26.25" customHeight="1" x14ac:dyDescent="0.2">
      <c r="B9" s="30" t="s">
        <v>84</v>
      </c>
      <c r="C9" s="30"/>
      <c r="D9" s="13"/>
      <c r="E9" s="30" t="s">
        <v>86</v>
      </c>
      <c r="F9" s="30"/>
      <c r="G9" s="13"/>
      <c r="H9" s="47" t="s">
        <v>43</v>
      </c>
      <c r="I9" s="30"/>
      <c r="J9" s="13"/>
      <c r="K9" s="30" t="s">
        <v>3</v>
      </c>
      <c r="L9" s="30"/>
    </row>
    <row r="10" spans="1:15" ht="26.25" customHeight="1" thickBot="1" x14ac:dyDescent="0.25">
      <c r="B10" s="120"/>
      <c r="C10" s="121"/>
      <c r="D10" s="17"/>
      <c r="E10" s="120"/>
      <c r="F10" s="121"/>
      <c r="G10" s="17"/>
      <c r="H10" s="120"/>
      <c r="I10" s="121"/>
      <c r="J10" s="17"/>
      <c r="K10" s="122"/>
      <c r="L10" s="123"/>
      <c r="M10" s="3"/>
      <c r="N10" s="3"/>
      <c r="O10" s="3"/>
    </row>
    <row r="11" spans="1:15" ht="26.25" customHeight="1" x14ac:dyDescent="0.2">
      <c r="B11" s="39"/>
      <c r="C11" s="39"/>
      <c r="D11" s="17"/>
      <c r="E11" s="39"/>
      <c r="F11" s="39"/>
      <c r="G11" s="17"/>
      <c r="H11" s="39"/>
      <c r="I11" s="39"/>
      <c r="J11" s="17"/>
      <c r="K11" s="38"/>
      <c r="L11" s="3"/>
      <c r="M11" s="3"/>
      <c r="N11" s="3"/>
      <c r="O11" s="3"/>
    </row>
    <row r="12" spans="1:15" ht="26.25" customHeight="1" x14ac:dyDescent="0.2">
      <c r="B12" s="131" t="s">
        <v>189</v>
      </c>
      <c r="C12" s="131"/>
      <c r="D12" s="13"/>
      <c r="E12" s="13"/>
      <c r="F12" s="13"/>
      <c r="G12" s="13"/>
      <c r="H12" s="13"/>
      <c r="I12" s="13"/>
      <c r="J12" s="124" t="s">
        <v>87</v>
      </c>
      <c r="K12" s="125"/>
      <c r="L12" s="129"/>
    </row>
    <row r="13" spans="1:15" ht="26.25" customHeight="1" thickBot="1" x14ac:dyDescent="0.25">
      <c r="B13" s="126"/>
      <c r="C13" s="127"/>
      <c r="D13" s="128"/>
      <c r="E13" s="128"/>
      <c r="F13" s="128"/>
      <c r="G13" s="128"/>
      <c r="H13" s="121"/>
      <c r="I13" s="17"/>
      <c r="J13" s="124"/>
      <c r="K13" s="125"/>
      <c r="L13" s="130"/>
      <c r="M13" s="3"/>
    </row>
    <row r="14" spans="1:15" ht="26.25" customHeight="1" x14ac:dyDescent="0.2">
      <c r="L14" s="12"/>
      <c r="M14" s="12"/>
    </row>
    <row r="15" spans="1:15" ht="26.25" customHeight="1" x14ac:dyDescent="0.2">
      <c r="B15" s="119" t="s">
        <v>29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</row>
    <row r="16" spans="1:15" s="41" customFormat="1" ht="26.25" customHeight="1" x14ac:dyDescent="0.2">
      <c r="A16"/>
      <c r="B16"/>
      <c r="C16"/>
      <c r="D16"/>
      <c r="E16"/>
      <c r="F16"/>
      <c r="G16"/>
      <c r="J16"/>
      <c r="K16"/>
      <c r="L16"/>
      <c r="M16"/>
      <c r="N16"/>
      <c r="O16"/>
    </row>
    <row r="17" spans="1:15" s="41" customFormat="1" ht="36" customHeight="1" x14ac:dyDescent="0.2">
      <c r="A17"/>
      <c r="B17" s="30" t="s">
        <v>115</v>
      </c>
      <c r="E17" s="30" t="s">
        <v>116</v>
      </c>
      <c r="F17" s="21"/>
      <c r="H17" s="145" t="str">
        <f>IF(B18="Otros","Indicar tipo de documento","")</f>
        <v/>
      </c>
      <c r="I17" s="145"/>
      <c r="M17"/>
      <c r="N17"/>
      <c r="O17"/>
    </row>
    <row r="18" spans="1:15" s="41" customFormat="1" ht="26.25" customHeight="1" thickBot="1" x14ac:dyDescent="0.25">
      <c r="A18"/>
      <c r="B18" s="137"/>
      <c r="C18" s="138"/>
      <c r="E18" s="141"/>
      <c r="F18" s="142"/>
      <c r="H18" s="133"/>
      <c r="I18" s="134"/>
      <c r="K18" s="88" t="str">
        <f>IF(B18="Otros","CI extranjera, pasaporte, BPS, etc.","")</f>
        <v/>
      </c>
      <c r="M18" s="16"/>
      <c r="N18"/>
      <c r="O18"/>
    </row>
    <row r="19" spans="1:15" ht="26.25" customHeight="1" x14ac:dyDescent="0.2">
      <c r="B19" s="61" t="str">
        <f>IF(B18="RUT","Razón Social","Nombre y apellido")</f>
        <v>Nombre y apellido</v>
      </c>
      <c r="C19" s="61"/>
      <c r="E19" s="30" t="s">
        <v>190</v>
      </c>
      <c r="F19" s="30"/>
      <c r="G19" s="21"/>
      <c r="H19" s="30" t="s">
        <v>88</v>
      </c>
      <c r="I19" s="30"/>
      <c r="J19" s="15"/>
      <c r="L19" s="15"/>
      <c r="M19" s="15"/>
    </row>
    <row r="20" spans="1:15" ht="26.25" customHeight="1" thickBot="1" x14ac:dyDescent="0.25">
      <c r="B20" s="143"/>
      <c r="C20" s="144"/>
      <c r="E20" s="133"/>
      <c r="F20" s="134"/>
      <c r="G20" s="21"/>
      <c r="H20" s="146"/>
      <c r="I20" s="147"/>
      <c r="L20" s="16"/>
      <c r="M20" s="16"/>
    </row>
    <row r="21" spans="1:15" ht="26.25" customHeight="1" x14ac:dyDescent="0.2">
      <c r="B21" s="22"/>
      <c r="C21" s="22"/>
      <c r="D21" s="21"/>
      <c r="E21" s="21"/>
      <c r="F21" s="21"/>
      <c r="G21" s="19"/>
      <c r="H21" s="19"/>
      <c r="I21" s="21"/>
      <c r="L21" s="16"/>
      <c r="M21" s="16"/>
    </row>
    <row r="22" spans="1:15" ht="26.25" customHeight="1" x14ac:dyDescent="0.2">
      <c r="B22" s="22"/>
      <c r="C22" s="22"/>
      <c r="D22" s="21"/>
      <c r="E22" s="21"/>
      <c r="F22" s="21"/>
      <c r="G22" s="19"/>
      <c r="H22" s="19"/>
      <c r="I22" s="21"/>
      <c r="L22" s="16"/>
      <c r="M22" s="16"/>
    </row>
    <row r="23" spans="1:15" ht="26.25" customHeight="1" x14ac:dyDescent="0.2">
      <c r="B23" s="132" t="s">
        <v>30</v>
      </c>
      <c r="C23" s="132"/>
      <c r="D23" s="132"/>
      <c r="E23" s="132"/>
      <c r="F23" s="21"/>
      <c r="G23" s="19"/>
      <c r="H23" s="19"/>
      <c r="I23" s="21"/>
      <c r="L23" s="16"/>
      <c r="M23" s="16"/>
    </row>
    <row r="24" spans="1:15" ht="26.25" customHeight="1" x14ac:dyDescent="0.2">
      <c r="B24" s="23"/>
      <c r="C24" s="24"/>
      <c r="D24" s="21"/>
      <c r="E24" s="21"/>
      <c r="F24" s="21"/>
      <c r="G24" s="19"/>
      <c r="H24" s="19"/>
      <c r="I24" s="21"/>
      <c r="L24" s="16"/>
      <c r="M24" s="16"/>
    </row>
    <row r="25" spans="1:15" ht="26.25" customHeight="1" x14ac:dyDescent="0.2">
      <c r="B25" s="30" t="s">
        <v>1</v>
      </c>
      <c r="C25" s="30"/>
      <c r="D25" s="21"/>
      <c r="E25" s="30" t="s">
        <v>44</v>
      </c>
      <c r="F25" s="30"/>
      <c r="G25" s="21"/>
      <c r="H25" s="30" t="s">
        <v>43</v>
      </c>
      <c r="I25" s="30"/>
      <c r="K25" s="30" t="s">
        <v>3</v>
      </c>
      <c r="L25" s="30"/>
    </row>
    <row r="26" spans="1:15" ht="26.25" customHeight="1" thickBot="1" x14ac:dyDescent="0.25">
      <c r="B26" s="122"/>
      <c r="C26" s="123"/>
      <c r="D26" s="21"/>
      <c r="E26" s="122"/>
      <c r="F26" s="123"/>
      <c r="G26" s="19"/>
      <c r="H26" s="122"/>
      <c r="I26" s="123"/>
      <c r="J26" s="7"/>
      <c r="K26" s="122"/>
      <c r="L26" s="123"/>
      <c r="M26" s="2"/>
      <c r="N26" s="7"/>
      <c r="O26" s="7"/>
    </row>
    <row r="27" spans="1:15" ht="26.25" customHeight="1" x14ac:dyDescent="0.2">
      <c r="B27" s="30" t="s">
        <v>4</v>
      </c>
      <c r="C27" s="30"/>
      <c r="D27" s="21"/>
      <c r="E27" s="30" t="s">
        <v>5</v>
      </c>
      <c r="F27" s="30"/>
      <c r="G27" s="21"/>
      <c r="H27" s="21"/>
      <c r="I27" s="21"/>
      <c r="L27" s="1"/>
      <c r="M27" s="1"/>
    </row>
    <row r="28" spans="1:15" ht="26.25" customHeight="1" thickBot="1" x14ac:dyDescent="0.25">
      <c r="B28" s="122"/>
      <c r="C28" s="123"/>
      <c r="D28" s="21"/>
      <c r="E28" s="122"/>
      <c r="F28" s="123"/>
      <c r="G28" s="22"/>
      <c r="H28" s="22"/>
      <c r="I28" s="21"/>
      <c r="J28" s="7"/>
      <c r="L28" s="1"/>
      <c r="M28" s="1"/>
    </row>
    <row r="29" spans="1:15" ht="26.25" customHeight="1" x14ac:dyDescent="0.2">
      <c r="B29" s="2"/>
      <c r="C29" s="2"/>
      <c r="D29" s="3"/>
      <c r="E29" s="3"/>
      <c r="G29" s="2"/>
      <c r="H29" s="2"/>
      <c r="I29" s="3"/>
      <c r="J29" s="3"/>
      <c r="L29" s="3"/>
      <c r="M29" s="3"/>
      <c r="N29" s="3"/>
      <c r="O29" s="3"/>
    </row>
    <row r="30" spans="1:15" ht="26.25" customHeight="1" x14ac:dyDescent="0.2">
      <c r="B30" s="140" t="s">
        <v>31</v>
      </c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</row>
    <row r="31" spans="1:15" ht="26.25" customHeight="1" x14ac:dyDescent="0.2"/>
    <row r="32" spans="1:15" ht="26.25" customHeight="1" x14ac:dyDescent="0.2">
      <c r="B32" s="30" t="s">
        <v>89</v>
      </c>
      <c r="C32" s="30"/>
      <c r="D32" s="21"/>
      <c r="E32" s="30" t="s">
        <v>90</v>
      </c>
      <c r="F32" s="30"/>
      <c r="G32" s="21"/>
      <c r="H32" s="30" t="s">
        <v>91</v>
      </c>
      <c r="I32" s="30"/>
    </row>
    <row r="33" spans="2:12" ht="26.25" customHeight="1" thickBot="1" x14ac:dyDescent="0.25">
      <c r="B33" s="120"/>
      <c r="C33" s="121"/>
      <c r="D33" s="21"/>
      <c r="E33" s="122"/>
      <c r="F33" s="123"/>
      <c r="G33" s="19"/>
      <c r="H33" s="122"/>
      <c r="I33" s="123"/>
    </row>
    <row r="34" spans="2:12" ht="26.25" customHeight="1" x14ac:dyDescent="0.2">
      <c r="B34" s="30" t="s">
        <v>92</v>
      </c>
      <c r="C34" s="30"/>
      <c r="D34" s="21"/>
      <c r="E34" s="48" t="s">
        <v>14</v>
      </c>
      <c r="F34" s="49" t="s">
        <v>120</v>
      </c>
      <c r="G34" s="21"/>
      <c r="H34" s="30" t="s">
        <v>93</v>
      </c>
      <c r="I34" s="30"/>
    </row>
    <row r="35" spans="2:12" ht="26.25" customHeight="1" thickBot="1" x14ac:dyDescent="0.25">
      <c r="B35" s="120"/>
      <c r="C35" s="121"/>
      <c r="D35" s="21"/>
      <c r="E35" s="122"/>
      <c r="F35" s="123"/>
      <c r="G35" s="19"/>
      <c r="H35" s="122"/>
      <c r="I35" s="123"/>
    </row>
    <row r="36" spans="2:12" ht="26.25" customHeight="1" x14ac:dyDescent="0.2">
      <c r="B36" s="139" t="s">
        <v>33</v>
      </c>
      <c r="C36" s="139"/>
      <c r="E36" s="30" t="s">
        <v>183</v>
      </c>
      <c r="F36" s="26"/>
    </row>
    <row r="37" spans="2:12" ht="26.25" customHeight="1" thickBot="1" x14ac:dyDescent="0.25">
      <c r="B37" s="135"/>
      <c r="C37" s="136"/>
      <c r="E37" s="122"/>
      <c r="F37" s="123"/>
      <c r="H37" s="148" t="str">
        <f>IF(B35="Provisorio General *","En  Observaciones (al final del formulario) debe indicar: fecha inicio/fin del provisorio, asi como horas diarias estimadas de utilización","")</f>
        <v/>
      </c>
      <c r="I37" s="148"/>
      <c r="J37" s="148"/>
      <c r="K37" s="148"/>
      <c r="L37" s="148"/>
    </row>
    <row r="38" spans="2:12" ht="26.25" customHeight="1" x14ac:dyDescent="0.2">
      <c r="B38" s="30" t="s">
        <v>94</v>
      </c>
      <c r="C38" s="30"/>
      <c r="D38" s="21"/>
      <c r="E38" s="30" t="s">
        <v>95</v>
      </c>
      <c r="F38" s="30"/>
      <c r="G38" s="21"/>
      <c r="H38" s="30" t="s">
        <v>96</v>
      </c>
      <c r="I38" s="30"/>
    </row>
    <row r="39" spans="2:12" ht="26.25" customHeight="1" thickBot="1" x14ac:dyDescent="0.25">
      <c r="B39" s="120"/>
      <c r="C39" s="121"/>
      <c r="D39" s="21"/>
      <c r="E39" s="122"/>
      <c r="F39" s="123"/>
      <c r="G39" s="19"/>
      <c r="H39" s="122"/>
      <c r="I39" s="123"/>
    </row>
    <row r="40" spans="2:12" ht="30.75" customHeight="1" x14ac:dyDescent="0.2">
      <c r="B40" s="30" t="s">
        <v>97</v>
      </c>
      <c r="C40" s="30"/>
      <c r="D40" s="21"/>
      <c r="J40" s="62"/>
      <c r="K40" s="62"/>
      <c r="L40" s="62"/>
    </row>
    <row r="41" spans="2:12" ht="18.75" customHeight="1" x14ac:dyDescent="0.2">
      <c r="B41" s="152"/>
      <c r="C41" s="153"/>
      <c r="D41" s="21"/>
      <c r="E41" s="30" t="str">
        <f>IF(B41="Potencia excepcional","Seleccionar","")</f>
        <v/>
      </c>
      <c r="F41" s="71"/>
      <c r="G41" s="76" t="str">
        <f>IFERROR(VLOOKUP(F41,check!E43:F48,2,FALSE),"")</f>
        <v/>
      </c>
      <c r="J41" s="62"/>
      <c r="K41" s="62"/>
      <c r="L41" s="63"/>
    </row>
    <row r="42" spans="2:12" ht="18.75" customHeight="1" thickBot="1" x14ac:dyDescent="0.25">
      <c r="B42" s="154"/>
      <c r="C42" s="155"/>
      <c r="D42" s="21"/>
      <c r="E42" s="30" t="str">
        <f>IF(B41="Mayor a 40 KW","Ingresar","")</f>
        <v/>
      </c>
      <c r="F42" s="78"/>
      <c r="J42" s="62"/>
      <c r="K42" s="62"/>
      <c r="L42" s="63"/>
    </row>
    <row r="43" spans="2:12" ht="18.75" customHeight="1" x14ac:dyDescent="0.2">
      <c r="B43" s="65"/>
      <c r="C43" s="65"/>
      <c r="D43" s="21"/>
      <c r="E43" s="30"/>
      <c r="F43" s="30"/>
      <c r="J43" s="62"/>
      <c r="K43" s="62"/>
      <c r="L43" s="63"/>
    </row>
    <row r="44" spans="2:12" ht="27" customHeight="1" thickBot="1" x14ac:dyDescent="0.25">
      <c r="B44" s="156" t="s">
        <v>165</v>
      </c>
      <c r="C44" s="156"/>
      <c r="D44" s="73" t="s">
        <v>164</v>
      </c>
      <c r="E44" s="72"/>
      <c r="J44" s="101"/>
      <c r="K44" s="101"/>
      <c r="L44" s="62"/>
    </row>
    <row r="45" spans="2:12" ht="39.75" customHeight="1" x14ac:dyDescent="0.2">
      <c r="B45" s="30" t="s">
        <v>25</v>
      </c>
      <c r="C45" s="30"/>
      <c r="D45" s="21"/>
      <c r="E45" s="30" t="s">
        <v>177</v>
      </c>
      <c r="F45" s="30"/>
      <c r="J45" s="60"/>
      <c r="K45" s="60"/>
      <c r="L45" s="62"/>
    </row>
    <row r="46" spans="2:12" ht="26.25" customHeight="1" thickBot="1" x14ac:dyDescent="0.25">
      <c r="B46" s="149" t="str">
        <f>IF(E44="Si",IF(B41="Mayor a 40 KW",F42,B41),"")</f>
        <v/>
      </c>
      <c r="C46" s="150"/>
      <c r="D46" s="19"/>
      <c r="E46" s="149"/>
      <c r="F46" s="150"/>
      <c r="J46" s="60"/>
      <c r="K46" s="60"/>
      <c r="L46" s="62"/>
    </row>
    <row r="47" spans="2:12" ht="26.25" customHeight="1" x14ac:dyDescent="0.2">
      <c r="B47" s="64"/>
      <c r="C47" s="64"/>
      <c r="E47" s="64"/>
      <c r="F47" s="64"/>
      <c r="G47" s="19"/>
      <c r="H47" s="64"/>
      <c r="I47" s="64"/>
      <c r="J47" s="60"/>
      <c r="K47" s="60"/>
      <c r="L47" s="62"/>
    </row>
    <row r="48" spans="2:12" ht="42.75" customHeight="1" x14ac:dyDescent="0.2">
      <c r="B48" s="30" t="s">
        <v>98</v>
      </c>
      <c r="C48" s="30"/>
      <c r="D48" s="21"/>
      <c r="E48" s="30" t="s">
        <v>99</v>
      </c>
      <c r="F48" s="30"/>
      <c r="G48" s="21"/>
      <c r="H48" s="151" t="s">
        <v>100</v>
      </c>
      <c r="I48" s="151"/>
      <c r="J48" s="101"/>
      <c r="K48" s="101"/>
      <c r="L48" s="62"/>
    </row>
    <row r="49" spans="2:13" ht="26.25" customHeight="1" thickBot="1" x14ac:dyDescent="0.25">
      <c r="B49" s="120"/>
      <c r="C49" s="121"/>
      <c r="D49" s="21"/>
      <c r="E49" s="120"/>
      <c r="F49" s="121"/>
      <c r="G49" s="19"/>
      <c r="H49" s="122"/>
      <c r="I49" s="123"/>
      <c r="J49" s="107"/>
      <c r="K49" s="107"/>
    </row>
    <row r="50" spans="2:13" ht="26.25" customHeight="1" x14ac:dyDescent="0.2"/>
    <row r="51" spans="2:13" x14ac:dyDescent="0.2"/>
    <row r="52" spans="2:13" x14ac:dyDescent="0.2">
      <c r="J52" s="13"/>
      <c r="K52" s="13"/>
    </row>
    <row r="53" spans="2:13" ht="16" x14ac:dyDescent="0.2">
      <c r="B53" s="29" t="s">
        <v>11</v>
      </c>
      <c r="C53" s="29"/>
      <c r="D53" s="107"/>
      <c r="E53" s="107"/>
      <c r="F53" s="107"/>
      <c r="G53" s="107"/>
      <c r="H53" s="107"/>
      <c r="I53" s="107"/>
      <c r="J53" s="118"/>
      <c r="K53" s="118"/>
    </row>
    <row r="54" spans="2:13" x14ac:dyDescent="0.2">
      <c r="B54" s="157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9"/>
    </row>
    <row r="55" spans="2:13" x14ac:dyDescent="0.2">
      <c r="B55" s="160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2"/>
    </row>
    <row r="56" spans="2:13" x14ac:dyDescent="0.2">
      <c r="B56" s="160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2"/>
    </row>
    <row r="57" spans="2:13" x14ac:dyDescent="0.2">
      <c r="B57" s="160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2"/>
    </row>
    <row r="58" spans="2:13" x14ac:dyDescent="0.2">
      <c r="B58" s="160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2"/>
    </row>
    <row r="59" spans="2:13" x14ac:dyDescent="0.2">
      <c r="B59" s="160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2"/>
    </row>
    <row r="60" spans="2:13" x14ac:dyDescent="0.2">
      <c r="B60" s="160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2"/>
    </row>
    <row r="61" spans="2:13" x14ac:dyDescent="0.2">
      <c r="B61" s="160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2"/>
    </row>
    <row r="62" spans="2:13" x14ac:dyDescent="0.2">
      <c r="B62" s="160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2"/>
    </row>
    <row r="63" spans="2:13" x14ac:dyDescent="0.2">
      <c r="B63" s="160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2"/>
    </row>
    <row r="64" spans="2:13" ht="16" thickBot="1" x14ac:dyDescent="0.25">
      <c r="B64" s="163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5"/>
    </row>
    <row r="65" spans="2:11" ht="15" customHeight="1" x14ac:dyDescent="0.2">
      <c r="B65" s="43" t="s">
        <v>110</v>
      </c>
      <c r="C65" s="44"/>
      <c r="D65" s="43"/>
      <c r="E65" s="43"/>
      <c r="F65" s="43"/>
      <c r="G65" s="43"/>
      <c r="H65" s="43"/>
      <c r="I65" s="43"/>
      <c r="J65" s="43"/>
      <c r="K65" s="43"/>
    </row>
    <row r="66" spans="2:11" x14ac:dyDescent="0.2">
      <c r="B66" s="107"/>
      <c r="C66" s="107"/>
      <c r="D66" s="107"/>
      <c r="E66" s="107"/>
      <c r="F66" s="107"/>
      <c r="G66" s="107"/>
      <c r="H66" s="107"/>
      <c r="I66" s="107"/>
      <c r="J66" s="107"/>
      <c r="K66" s="107"/>
    </row>
    <row r="67" spans="2:11" ht="15" customHeight="1" x14ac:dyDescent="0.2">
      <c r="B67" s="29" t="s">
        <v>82</v>
      </c>
      <c r="C67" s="29"/>
      <c r="D67" s="29"/>
      <c r="E67" s="29"/>
      <c r="F67" s="29"/>
      <c r="G67" s="29"/>
      <c r="H67" s="107"/>
      <c r="I67" s="107"/>
      <c r="J67" s="107"/>
      <c r="K67" s="107"/>
    </row>
    <row r="68" spans="2:11" x14ac:dyDescent="0.2">
      <c r="B68" s="107"/>
      <c r="C68" s="107"/>
      <c r="D68" s="107"/>
      <c r="E68" s="107"/>
      <c r="F68" s="107"/>
      <c r="G68" s="107"/>
      <c r="H68" s="107"/>
      <c r="I68" s="107"/>
      <c r="J68" s="107"/>
      <c r="K68" s="107"/>
    </row>
    <row r="69" spans="2:11" x14ac:dyDescent="0.2">
      <c r="B69" s="107"/>
      <c r="C69" s="107"/>
      <c r="D69" s="107"/>
      <c r="E69" s="107"/>
      <c r="F69" s="107"/>
      <c r="G69" s="107"/>
      <c r="H69" s="107"/>
      <c r="I69" s="107"/>
      <c r="J69" s="107"/>
      <c r="K69" s="107"/>
    </row>
    <row r="70" spans="2:11" x14ac:dyDescent="0.2">
      <c r="B70" s="107"/>
      <c r="C70" s="107"/>
      <c r="D70" s="107"/>
      <c r="E70" s="107"/>
      <c r="F70" s="107"/>
      <c r="G70" s="107"/>
      <c r="H70" s="107"/>
      <c r="I70" s="107"/>
      <c r="J70" s="107"/>
      <c r="K70" s="107"/>
    </row>
    <row r="71" spans="2:11" x14ac:dyDescent="0.2">
      <c r="B71" s="107"/>
      <c r="C71" s="107"/>
      <c r="D71" s="107"/>
      <c r="E71" s="107"/>
      <c r="F71" s="107"/>
      <c r="G71" s="107"/>
      <c r="H71" s="107"/>
      <c r="I71" s="107"/>
      <c r="J71" s="107"/>
      <c r="K71" s="107"/>
    </row>
    <row r="72" spans="2:11" x14ac:dyDescent="0.2">
      <c r="B72" s="166" t="s">
        <v>113</v>
      </c>
      <c r="C72" s="166"/>
      <c r="D72" s="107"/>
      <c r="E72" s="107"/>
      <c r="F72" s="107"/>
      <c r="G72" s="107"/>
      <c r="H72" s="107"/>
      <c r="I72" s="107"/>
      <c r="J72" s="107"/>
      <c r="K72" s="107"/>
    </row>
    <row r="73" spans="2:11" x14ac:dyDescent="0.2">
      <c r="B73" s="107"/>
      <c r="C73" s="107"/>
      <c r="D73" s="107"/>
      <c r="E73" s="107"/>
      <c r="F73" s="107"/>
      <c r="G73" s="107"/>
      <c r="H73" s="107"/>
      <c r="I73" s="107"/>
      <c r="J73" s="107"/>
      <c r="K73" s="107"/>
    </row>
    <row r="74" spans="2:11" x14ac:dyDescent="0.2">
      <c r="B74" s="107"/>
      <c r="C74" s="107"/>
      <c r="D74" s="107"/>
      <c r="E74" s="107"/>
      <c r="F74" s="107"/>
      <c r="G74" s="107"/>
      <c r="H74" s="107"/>
      <c r="I74" s="107"/>
      <c r="J74" s="107"/>
      <c r="K74" s="107"/>
    </row>
    <row r="75" spans="2:11" x14ac:dyDescent="0.2">
      <c r="B75" s="107"/>
      <c r="C75" s="107"/>
      <c r="D75" s="107"/>
      <c r="E75" s="107"/>
      <c r="F75" s="107"/>
      <c r="G75" s="107"/>
      <c r="H75" s="107"/>
      <c r="I75" s="107"/>
      <c r="J75" s="107"/>
      <c r="K75" s="107"/>
    </row>
    <row r="76" spans="2:11" x14ac:dyDescent="0.2">
      <c r="B76" s="107"/>
      <c r="C76" s="107"/>
      <c r="D76" s="107"/>
      <c r="E76" s="107"/>
      <c r="F76" s="107"/>
      <c r="G76" s="107"/>
      <c r="H76" s="107"/>
      <c r="I76" s="107"/>
      <c r="J76" s="107"/>
      <c r="K76" s="107"/>
    </row>
    <row r="77" spans="2:11" x14ac:dyDescent="0.2">
      <c r="B77" s="107"/>
      <c r="C77" s="107"/>
      <c r="D77" s="107"/>
      <c r="E77" s="107"/>
      <c r="F77" s="107"/>
      <c r="G77" s="107"/>
      <c r="H77" s="107"/>
      <c r="I77" s="107"/>
      <c r="J77" s="107"/>
      <c r="K77" s="107"/>
    </row>
    <row r="78" spans="2:11" x14ac:dyDescent="0.2">
      <c r="B78" s="107"/>
      <c r="C78" s="107"/>
      <c r="D78" s="107"/>
      <c r="E78" s="107"/>
      <c r="F78" s="107"/>
      <c r="G78" s="107"/>
      <c r="H78" s="107"/>
      <c r="I78" s="107"/>
      <c r="J78" s="107"/>
      <c r="K78" s="107"/>
    </row>
    <row r="79" spans="2:11" x14ac:dyDescent="0.2">
      <c r="B79" s="107"/>
      <c r="C79" s="107"/>
      <c r="D79" s="107"/>
      <c r="E79" s="107"/>
      <c r="F79" s="107"/>
      <c r="G79" s="107"/>
      <c r="H79" s="107"/>
      <c r="I79" s="107"/>
      <c r="J79" s="107"/>
      <c r="K79" s="107"/>
    </row>
    <row r="80" spans="2:11" x14ac:dyDescent="0.2">
      <c r="B80" s="107"/>
      <c r="C80" s="107"/>
      <c r="D80" s="107"/>
      <c r="E80" s="107"/>
      <c r="F80" s="107"/>
      <c r="G80" s="107"/>
      <c r="H80" s="107"/>
      <c r="I80" s="107"/>
      <c r="J80" s="107"/>
      <c r="K80" s="107"/>
    </row>
    <row r="81" spans="2:11" x14ac:dyDescent="0.2">
      <c r="B81" s="107"/>
      <c r="C81" s="107"/>
      <c r="D81" s="107"/>
      <c r="E81" s="107"/>
      <c r="F81" s="107"/>
      <c r="G81" s="107"/>
      <c r="H81" s="107"/>
      <c r="I81" s="107"/>
      <c r="J81" s="107"/>
      <c r="K81" s="107"/>
    </row>
    <row r="82" spans="2:11" x14ac:dyDescent="0.2">
      <c r="B82" s="107"/>
      <c r="C82" s="107"/>
      <c r="D82" s="107"/>
      <c r="E82" s="107"/>
      <c r="F82" s="107"/>
      <c r="G82" s="107"/>
      <c r="H82" s="107"/>
      <c r="I82" s="107"/>
      <c r="J82" s="107"/>
      <c r="K82" s="107"/>
    </row>
    <row r="83" spans="2:11" x14ac:dyDescent="0.2">
      <c r="B83" s="107"/>
      <c r="C83" s="107"/>
      <c r="D83" s="107"/>
      <c r="E83" s="107"/>
      <c r="F83" s="107"/>
      <c r="G83" s="107"/>
      <c r="H83" s="107"/>
      <c r="I83" s="107"/>
      <c r="J83" s="107"/>
      <c r="K83" s="107"/>
    </row>
    <row r="84" spans="2:11" x14ac:dyDescent="0.2">
      <c r="B84" s="107"/>
      <c r="C84" s="107"/>
      <c r="D84" s="107"/>
      <c r="E84" s="107"/>
      <c r="F84" s="107"/>
      <c r="G84" s="107"/>
      <c r="H84" s="107"/>
      <c r="I84" s="107"/>
      <c r="J84" s="107"/>
      <c r="K84" s="107"/>
    </row>
    <row r="85" spans="2:11" x14ac:dyDescent="0.2">
      <c r="B85" s="107"/>
      <c r="C85" s="107"/>
      <c r="D85" s="107"/>
      <c r="E85" s="107"/>
      <c r="F85" s="107"/>
      <c r="G85" s="107"/>
      <c r="H85" s="107"/>
      <c r="I85" s="107"/>
      <c r="J85" s="107"/>
      <c r="K85" s="107"/>
    </row>
    <row r="86" spans="2:11" x14ac:dyDescent="0.2">
      <c r="B86" s="107"/>
      <c r="C86" s="107"/>
      <c r="D86" s="107"/>
      <c r="E86" s="107"/>
      <c r="F86" s="107"/>
      <c r="G86" s="107"/>
      <c r="H86" s="107"/>
      <c r="I86" s="107"/>
      <c r="J86" s="107"/>
      <c r="K86" s="107"/>
    </row>
    <row r="87" spans="2:11" x14ac:dyDescent="0.2">
      <c r="B87" s="107"/>
      <c r="C87" s="107"/>
      <c r="D87" s="107"/>
      <c r="E87" s="107"/>
      <c r="F87" s="107"/>
      <c r="G87" s="107"/>
      <c r="H87" s="107"/>
      <c r="I87" s="107"/>
      <c r="J87" s="107"/>
      <c r="K87" s="107"/>
    </row>
    <row r="88" spans="2:11" x14ac:dyDescent="0.2">
      <c r="B88" s="107"/>
      <c r="C88" s="107"/>
      <c r="D88" s="107"/>
      <c r="E88" s="107"/>
      <c r="F88" s="107"/>
      <c r="G88" s="107"/>
      <c r="H88" s="107"/>
      <c r="I88" s="107"/>
      <c r="J88" s="107"/>
      <c r="K88" s="107"/>
    </row>
    <row r="89" spans="2:11" x14ac:dyDescent="0.2">
      <c r="B89" s="107"/>
      <c r="C89" s="107"/>
      <c r="D89" s="107"/>
      <c r="E89" s="107"/>
      <c r="F89" s="107"/>
      <c r="G89" s="107"/>
      <c r="H89" s="107"/>
      <c r="I89" s="107"/>
      <c r="J89" s="107"/>
      <c r="K89" s="107"/>
    </row>
    <row r="90" spans="2:11" x14ac:dyDescent="0.2">
      <c r="B90" s="107"/>
      <c r="C90" s="107"/>
      <c r="D90" s="107"/>
      <c r="E90" s="107"/>
      <c r="F90" s="107"/>
      <c r="G90" s="107"/>
      <c r="H90" s="107"/>
      <c r="I90" s="107"/>
      <c r="J90" s="107"/>
      <c r="K90" s="107"/>
    </row>
    <row r="91" spans="2:11" x14ac:dyDescent="0.2">
      <c r="B91" s="107"/>
      <c r="C91" s="107"/>
      <c r="D91" s="107"/>
      <c r="E91" s="107"/>
      <c r="F91" s="107"/>
      <c r="G91" s="107"/>
      <c r="H91" s="107"/>
      <c r="I91" s="107"/>
      <c r="J91" s="107"/>
      <c r="K91" s="107"/>
    </row>
    <row r="92" spans="2:11" x14ac:dyDescent="0.2">
      <c r="B92" s="107"/>
      <c r="C92" s="107"/>
      <c r="D92" s="107"/>
      <c r="E92" s="107"/>
      <c r="F92" s="107"/>
      <c r="G92" s="107"/>
      <c r="H92" s="107"/>
      <c r="I92" s="107"/>
      <c r="J92" s="107"/>
      <c r="K92" s="107"/>
    </row>
    <row r="93" spans="2:11" x14ac:dyDescent="0.2">
      <c r="B93" s="107"/>
      <c r="C93" s="107"/>
      <c r="D93" s="107"/>
      <c r="E93" s="107"/>
      <c r="F93" s="107"/>
      <c r="G93" s="107"/>
      <c r="H93" s="107"/>
      <c r="I93" s="107"/>
      <c r="J93" s="107"/>
      <c r="K93" s="107"/>
    </row>
    <row r="94" spans="2:11" x14ac:dyDescent="0.2">
      <c r="B94" s="107"/>
      <c r="C94" s="107"/>
      <c r="D94" s="107"/>
      <c r="E94" s="107"/>
      <c r="F94" s="107"/>
      <c r="G94" s="107"/>
      <c r="H94" s="107"/>
      <c r="I94" s="107"/>
      <c r="J94" s="107"/>
      <c r="K94" s="107"/>
    </row>
    <row r="95" spans="2:11" x14ac:dyDescent="0.2">
      <c r="B95" s="107"/>
      <c r="C95" s="107"/>
      <c r="D95" s="107"/>
      <c r="E95" s="107"/>
      <c r="F95" s="107"/>
      <c r="G95" s="107"/>
      <c r="H95" s="107"/>
      <c r="I95" s="107"/>
      <c r="J95" s="107"/>
      <c r="K95" s="107"/>
    </row>
    <row r="96" spans="2:11" x14ac:dyDescent="0.2">
      <c r="B96" s="107"/>
      <c r="C96" s="107"/>
      <c r="D96" s="107"/>
      <c r="E96" s="107"/>
      <c r="F96" s="107"/>
      <c r="G96" s="107"/>
      <c r="H96" s="107"/>
      <c r="I96" s="107"/>
      <c r="J96" s="107"/>
      <c r="K96" s="107"/>
    </row>
    <row r="97" spans="2:11" x14ac:dyDescent="0.2">
      <c r="B97" s="107"/>
      <c r="C97" s="107"/>
      <c r="D97" s="107"/>
      <c r="E97" s="107"/>
      <c r="F97" s="107"/>
      <c r="G97" s="107"/>
      <c r="H97" s="107"/>
      <c r="I97" s="107"/>
      <c r="J97" s="107"/>
      <c r="K97" s="107"/>
    </row>
    <row r="98" spans="2:11" x14ac:dyDescent="0.2">
      <c r="B98" s="107"/>
      <c r="C98" s="107"/>
      <c r="D98" s="107"/>
      <c r="E98" s="107"/>
      <c r="F98" s="107"/>
      <c r="G98" s="107"/>
      <c r="H98" s="107"/>
      <c r="I98" s="107"/>
      <c r="J98" s="107"/>
      <c r="K98" s="107"/>
    </row>
    <row r="99" spans="2:11" x14ac:dyDescent="0.2">
      <c r="B99" s="107"/>
      <c r="C99" s="107"/>
      <c r="D99" s="107"/>
      <c r="E99" s="107"/>
      <c r="F99" s="107"/>
      <c r="G99" s="107"/>
      <c r="H99" s="107"/>
      <c r="I99" s="107"/>
      <c r="J99" s="107"/>
      <c r="K99" s="107"/>
    </row>
    <row r="100" spans="2:11" x14ac:dyDescent="0.2"/>
    <row r="101" spans="2:11" x14ac:dyDescent="0.2"/>
    <row r="102" spans="2:11" x14ac:dyDescent="0.2"/>
    <row r="103" spans="2:11" x14ac:dyDescent="0.2"/>
    <row r="104" spans="2:11" x14ac:dyDescent="0.2"/>
    <row r="105" spans="2:11" x14ac:dyDescent="0.2"/>
    <row r="106" spans="2:11" x14ac:dyDescent="0.2"/>
    <row r="107" spans="2:11" x14ac:dyDescent="0.2"/>
    <row r="108" spans="2:11" x14ac:dyDescent="0.2"/>
    <row r="109" spans="2:11" x14ac:dyDescent="0.2"/>
    <row r="110" spans="2:11" x14ac:dyDescent="0.2"/>
    <row r="111" spans="2:11" x14ac:dyDescent="0.2"/>
    <row r="112" spans="2:11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</sheetData>
  <sheetProtection selectLockedCells="1"/>
  <mergeCells count="224">
    <mergeCell ref="H94:I94"/>
    <mergeCell ref="J94:K94"/>
    <mergeCell ref="B95:C95"/>
    <mergeCell ref="D95:E95"/>
    <mergeCell ref="F95:G95"/>
    <mergeCell ref="H95:I95"/>
    <mergeCell ref="J95:K95"/>
    <mergeCell ref="H92:I92"/>
    <mergeCell ref="B99:C99"/>
    <mergeCell ref="D99:E99"/>
    <mergeCell ref="F99:G99"/>
    <mergeCell ref="H99:I99"/>
    <mergeCell ref="J99:K99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B94:C94"/>
    <mergeCell ref="D94:E94"/>
    <mergeCell ref="F94:G94"/>
    <mergeCell ref="B89:C89"/>
    <mergeCell ref="D89:E89"/>
    <mergeCell ref="F89:G89"/>
    <mergeCell ref="H89:I89"/>
    <mergeCell ref="J89:K89"/>
    <mergeCell ref="J92:K92"/>
    <mergeCell ref="B93:C93"/>
    <mergeCell ref="D93:E93"/>
    <mergeCell ref="F93:G93"/>
    <mergeCell ref="H93:I93"/>
    <mergeCell ref="J93:K93"/>
    <mergeCell ref="B90:C90"/>
    <mergeCell ref="D90:E90"/>
    <mergeCell ref="F90:G90"/>
    <mergeCell ref="H90:I90"/>
    <mergeCell ref="J90:K90"/>
    <mergeCell ref="B91:C91"/>
    <mergeCell ref="B92:C92"/>
    <mergeCell ref="D92:E92"/>
    <mergeCell ref="F92:G92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B86:C86"/>
    <mergeCell ref="D86:E86"/>
    <mergeCell ref="F86:G86"/>
    <mergeCell ref="H86:I86"/>
    <mergeCell ref="J86:K86"/>
    <mergeCell ref="D91:E91"/>
    <mergeCell ref="F91:G91"/>
    <mergeCell ref="H91:I91"/>
    <mergeCell ref="J91:K91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H67:I67"/>
    <mergeCell ref="J67:K67"/>
    <mergeCell ref="B68:C68"/>
    <mergeCell ref="D68:E68"/>
    <mergeCell ref="F68:G68"/>
    <mergeCell ref="H68:I68"/>
    <mergeCell ref="J68:K68"/>
    <mergeCell ref="B69:C69"/>
    <mergeCell ref="D69:E69"/>
    <mergeCell ref="F69:G69"/>
    <mergeCell ref="H69:I69"/>
    <mergeCell ref="J69:K69"/>
    <mergeCell ref="B54:M64"/>
    <mergeCell ref="D53:E53"/>
    <mergeCell ref="F53:G53"/>
    <mergeCell ref="H53:I53"/>
    <mergeCell ref="J53:K53"/>
    <mergeCell ref="B66:C66"/>
    <mergeCell ref="D66:E66"/>
    <mergeCell ref="F66:G66"/>
    <mergeCell ref="H66:I66"/>
    <mergeCell ref="J66:K66"/>
    <mergeCell ref="H49:I49"/>
    <mergeCell ref="B49:C49"/>
    <mergeCell ref="J49:K49"/>
    <mergeCell ref="J44:K44"/>
    <mergeCell ref="E49:F49"/>
    <mergeCell ref="J48:K48"/>
    <mergeCell ref="H39:I39"/>
    <mergeCell ref="E46:F46"/>
    <mergeCell ref="H48:I48"/>
    <mergeCell ref="B39:C39"/>
    <mergeCell ref="E39:F39"/>
    <mergeCell ref="B46:C46"/>
    <mergeCell ref="B41:C42"/>
    <mergeCell ref="B44:C44"/>
    <mergeCell ref="B37:C37"/>
    <mergeCell ref="E10:F10"/>
    <mergeCell ref="B15:O15"/>
    <mergeCell ref="B18:C18"/>
    <mergeCell ref="B35:C35"/>
    <mergeCell ref="E35:F35"/>
    <mergeCell ref="H35:I35"/>
    <mergeCell ref="B33:C33"/>
    <mergeCell ref="E33:F33"/>
    <mergeCell ref="H33:I33"/>
    <mergeCell ref="B36:C36"/>
    <mergeCell ref="B28:C28"/>
    <mergeCell ref="E28:F28"/>
    <mergeCell ref="B30:O30"/>
    <mergeCell ref="E18:F18"/>
    <mergeCell ref="B20:C20"/>
    <mergeCell ref="H17:I17"/>
    <mergeCell ref="H18:I18"/>
    <mergeCell ref="H20:I20"/>
    <mergeCell ref="E37:F37"/>
    <mergeCell ref="H37:L37"/>
    <mergeCell ref="B5:O5"/>
    <mergeCell ref="B8:C8"/>
    <mergeCell ref="E8:F8"/>
    <mergeCell ref="B10:C10"/>
    <mergeCell ref="H26:I26"/>
    <mergeCell ref="J12:K13"/>
    <mergeCell ref="B13:H13"/>
    <mergeCell ref="L12:L13"/>
    <mergeCell ref="H10:I10"/>
    <mergeCell ref="K26:L26"/>
    <mergeCell ref="K10:L10"/>
    <mergeCell ref="H8:I8"/>
    <mergeCell ref="B12:C12"/>
    <mergeCell ref="B23:E23"/>
    <mergeCell ref="B26:C26"/>
    <mergeCell ref="E26:F26"/>
    <mergeCell ref="E20:F20"/>
  </mergeCells>
  <conditionalFormatting sqref="B25 E25 H25 K25 B27 E27">
    <cfRule type="expression" dxfId="50" priority="35">
      <formula>$L$12="Si"</formula>
    </cfRule>
  </conditionalFormatting>
  <conditionalFormatting sqref="B26:C26 E26:F26 H26:I26 E28:F28">
    <cfRule type="expression" dxfId="47" priority="38">
      <formula>$L$12="Si"</formula>
    </cfRule>
  </conditionalFormatting>
  <conditionalFormatting sqref="B28:C28">
    <cfRule type="expression" dxfId="46" priority="1">
      <formula>$L$12="Si"</formula>
    </cfRule>
  </conditionalFormatting>
  <conditionalFormatting sqref="B41:C42">
    <cfRule type="expression" dxfId="45" priority="2">
      <formula>$H$39=""</formula>
    </cfRule>
  </conditionalFormatting>
  <conditionalFormatting sqref="B23:E23">
    <cfRule type="expression" dxfId="43" priority="32">
      <formula>$L$12="Si"</formula>
    </cfRule>
  </conditionalFormatting>
  <conditionalFormatting sqref="E34:F34">
    <cfRule type="expression" dxfId="38" priority="29">
      <formula>$B$33="Definitiva"</formula>
    </cfRule>
  </conditionalFormatting>
  <conditionalFormatting sqref="E35:F35">
    <cfRule type="expression" dxfId="37" priority="31">
      <formula>$B$33="Definitiva"</formula>
    </cfRule>
  </conditionalFormatting>
  <conditionalFormatting sqref="F41">
    <cfRule type="expression" dxfId="36" priority="17">
      <formula>$E$41="Seleccionar"</formula>
    </cfRule>
  </conditionalFormatting>
  <conditionalFormatting sqref="F42">
    <cfRule type="expression" dxfId="35" priority="18">
      <formula>$E$42="Ingresar"</formula>
    </cfRule>
  </conditionalFormatting>
  <conditionalFormatting sqref="H18:I18">
    <cfRule type="expression" dxfId="34" priority="19">
      <formula>$B$18&lt;&gt;"Otros"</formula>
    </cfRule>
  </conditionalFormatting>
  <conditionalFormatting sqref="K26:L26">
    <cfRule type="expression" dxfId="33" priority="36">
      <formula>$L$12="Si"</formula>
    </cfRule>
  </conditionalFormatting>
  <dataValidations count="4">
    <dataValidation type="custom" allowBlank="1" showInputMessage="1" showErrorMessage="1" errorTitle="Formato no permitido" error="Para CI colocar 7 u 8 dígitos._x000a_Para RUT colocar 12 dígitos." sqref="E18" xr:uid="{00000000-0002-0000-0200-000000000000}">
      <formula1>IF(B18="CI",OR((LEN(E18)=7),(LEN(E18)=8)),IF(B18="RUT",LEN(E18)=12,TRUE))</formula1>
    </dataValidation>
    <dataValidation type="whole" operator="greaterThan" allowBlank="1" showInputMessage="1" showErrorMessage="1" errorTitle="Valor ingresado erroneo" error="Ingresar valor entero mayor a 40 KW" sqref="F42" xr:uid="{00000000-0002-0000-0200-000001000000}">
      <formula1>40</formula1>
    </dataValidation>
    <dataValidation type="custom" allowBlank="1" showInputMessage="1" showErrorMessage="1" errorTitle="Doble contratación de Potencia" error="La potencia seleccionada en Valle debera ser igual o mayor a la de Punta - Llano." sqref="B46:C46" xr:uid="{00000000-0002-0000-0200-000002000000}">
      <formula1>B46&gt;=F42</formula1>
    </dataValidation>
    <dataValidation type="custom" allowBlank="1" showInputMessage="1" showErrorMessage="1" errorTitle="Doble contratación de potencia" error="Para doble contratación de potencia, La potencia Punta - LLano deberá ser menor a potencia en Valle." sqref="E46:F46" xr:uid="{00000000-0002-0000-0200-000003000000}">
      <formula1>B46&gt;E46</formula1>
    </dataValidation>
  </dataValidations>
  <pageMargins left="0.7" right="0.7" top="0.75" bottom="0.75" header="0.3" footer="0.3"/>
  <pageSetup orientation="portrait" r:id="rId2"/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4" id="{5A3B30B8-32C8-468E-B2A4-96CE1E081DD4}">
            <xm:f>check!$B$68=FALSE</xm:f>
            <x14:dxf>
              <font>
                <color theme="0" tint="-0.24994659260841701"/>
              </font>
            </x14:dxf>
          </x14:cfRule>
          <xm:sqref>B44</xm:sqref>
        </x14:conditionalFormatting>
        <x14:conditionalFormatting xmlns:xm="http://schemas.microsoft.com/office/excel/2006/main">
          <x14:cfRule type="expression" priority="6" id="{C4457B51-AF6F-4A20-9316-32A8FDF0B60B}">
            <xm:f>check!$B$69=FALSE</xm:f>
            <x14:dxf>
              <font>
                <color theme="0" tint="-0.24994659260841701"/>
              </font>
            </x14:dxf>
          </x14:cfRule>
          <xm:sqref>B45 E45</xm:sqref>
        </x14:conditionalFormatting>
        <x14:conditionalFormatting xmlns:xm="http://schemas.microsoft.com/office/excel/2006/main">
          <x14:cfRule type="expression" priority="42" id="{BE804FF7-A69A-4095-8BC2-51CA3BCC0DA8}">
            <xm:f>check!$B$69=FALSE</xm:f>
            <x14:dxf>
              <font>
                <color theme="0" tint="-0.24994659260841701"/>
              </font>
              <fill>
                <patternFill>
                  <bgColor theme="0" tint="-0.24994659260841701"/>
                </patternFill>
              </fill>
            </x14:dxf>
          </x14:cfRule>
          <xm:sqref>B46:C46 E46:F46</xm:sqref>
        </x14:conditionalFormatting>
        <x14:conditionalFormatting xmlns:xm="http://schemas.microsoft.com/office/excel/2006/main">
          <x14:cfRule type="expression" priority="4" id="{385FA3DE-E71A-4467-8570-6CC8E61B3EAD}">
            <xm:f>check!$B$68=FALSE</xm:f>
            <x14:dxf>
              <font>
                <color theme="0" tint="-0.24994659260841701"/>
              </font>
              <fill>
                <patternFill patternType="none">
                  <bgColor auto="1"/>
                </patternFill>
              </fill>
            </x14:dxf>
          </x14:cfRule>
          <xm:sqref>D44</xm:sqref>
        </x14:conditionalFormatting>
        <x14:conditionalFormatting xmlns:xm="http://schemas.microsoft.com/office/excel/2006/main">
          <x14:cfRule type="expression" priority="21" id="{EA54D5E5-1508-41A1-9412-0FA6788D9E0C}">
            <xm:f>check!$L$6=TRUE</xm:f>
            <x14:dxf>
              <numFmt numFmtId="168" formatCode="0&quot;.&quot;###&quot;.&quot;###&quot;-&quot;0"/>
            </x14:dxf>
          </x14:cfRule>
          <x14:cfRule type="expression" priority="22" id="{9497CAC8-0B75-4BDD-BDCB-75397A8B66F7}">
            <xm:f>check!$K$6=TRUE</xm:f>
            <x14:dxf>
              <numFmt numFmtId="167" formatCode="###&quot;.&quot;###&quot;-&quot;0"/>
            </x14:dxf>
          </x14:cfRule>
          <xm:sqref>E18</xm:sqref>
        </x14:conditionalFormatting>
        <x14:conditionalFormatting xmlns:xm="http://schemas.microsoft.com/office/excel/2006/main">
          <x14:cfRule type="expression" priority="5" id="{9ACCF742-FEC4-4240-853A-6F352D93D3A4}">
            <xm:f>check!$B$68=FALSE</xm:f>
            <x14:dxf>
              <font>
                <color theme="0" tint="-0.24994659260841701"/>
              </font>
              <fill>
                <patternFill>
                  <bgColor theme="0" tint="-0.24994659260841701"/>
                </patternFill>
              </fill>
            </x14:dxf>
          </x14:cfRule>
          <xm:sqref>E44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errorTitle="Lista" error="Seleccionar de la lista desplegable" xr:uid="{00000000-0002-0000-0200-000004000000}">
          <x14:formula1>
            <xm:f>check!$B$16:$B$17</xm:f>
          </x14:formula1>
          <xm:sqref>H49:I49 L12:L13 E44 B49:C49 E49:F49</xm:sqref>
        </x14:dataValidation>
        <x14:dataValidation type="list" allowBlank="1" showInputMessage="1" showErrorMessage="1" errorTitle="Lista" error="Seleccionar de la lista desplegable" xr:uid="{00000000-0002-0000-0200-000005000000}">
          <x14:formula1>
            <xm:f>check!$B$27:$B$29</xm:f>
          </x14:formula1>
          <xm:sqref>E35:F35</xm:sqref>
        </x14:dataValidation>
        <x14:dataValidation type="list" allowBlank="1" showInputMessage="1" showErrorMessage="1" errorTitle="Lista" error="Seleccionar de la lista desplegable" xr:uid="{00000000-0002-0000-0200-000006000000}">
          <x14:formula1>
            <xm:f>check!$B$22:$B$23</xm:f>
          </x14:formula1>
          <xm:sqref>H33:I33</xm:sqref>
        </x14:dataValidation>
        <x14:dataValidation type="list" allowBlank="1" showInputMessage="1" showErrorMessage="1" errorTitle="Lista" error="Seleccionar de la lista desplegable" xr:uid="{00000000-0002-0000-0200-000007000000}">
          <x14:formula1>
            <xm:f>check!$B$16:$B$18</xm:f>
          </x14:formula1>
          <xm:sqref>E33:F33</xm:sqref>
        </x14:dataValidation>
        <x14:dataValidation type="list" allowBlank="1" showInputMessage="1" showErrorMessage="1" errorTitle="Lista" error="Seleccionar de la lista desplegable" xr:uid="{00000000-0002-0000-0200-000008000000}">
          <x14:formula1>
            <xm:f>check!$F$6:$F$12</xm:f>
          </x14:formula1>
          <xm:sqref>B35:C35</xm:sqref>
        </x14:dataValidation>
        <x14:dataValidation type="list" allowBlank="1" showInputMessage="1" showErrorMessage="1" errorTitle="Lista" error="Seleccionar de la lista desplegable" xr:uid="{00000000-0002-0000-0200-000009000000}">
          <x14:formula1>
            <xm:f>check!$D$23:$D$29</xm:f>
          </x14:formula1>
          <xm:sqref>B39:C39</xm:sqref>
        </x14:dataValidation>
        <x14:dataValidation type="list" allowBlank="1" showInputMessage="1" showErrorMessage="1" errorTitle="Lista" error="Seleccionar de la lista desplegable" xr:uid="{00000000-0002-0000-0200-00000A000000}">
          <x14:formula1>
            <xm:f>check!$D$32:$D$33</xm:f>
          </x14:formula1>
          <xm:sqref>H39:I39</xm:sqref>
        </x14:dataValidation>
        <x14:dataValidation type="list" allowBlank="1" showInputMessage="1" showErrorMessage="1" errorTitle="Lista" error="Seleccionar de la lista desplegable" xr:uid="{00000000-0002-0000-0200-00000B000000}">
          <x14:formula1>
            <xm:f>check!$D$12:$D$19</xm:f>
          </x14:formula1>
          <xm:sqref>E39:F39</xm:sqref>
        </x14:dataValidation>
        <x14:dataValidation type="list" allowBlank="1" showInputMessage="1" showErrorMessage="1" errorTitle="Lista" error="Seleccionar de la lista desplegable" xr:uid="{00000000-0002-0000-0200-00000C000000}">
          <x14:formula1>
            <xm:f>check!$B$11:$B$12</xm:f>
          </x14:formula1>
          <xm:sqref>B33:C33</xm:sqref>
        </x14:dataValidation>
        <x14:dataValidation type="list" allowBlank="1" showInputMessage="1" showErrorMessage="1" xr:uid="{00000000-0002-0000-0200-00000D000000}">
          <x14:formula1>
            <xm:f>IF($B$41="Potencia excepcional",check!$G$23:$G$28,$F$41)</xm:f>
          </x14:formula1>
          <xm:sqref>F41</xm:sqref>
        </x14:dataValidation>
        <x14:dataValidation type="list" allowBlank="1" showInputMessage="1" showErrorMessage="1" errorTitle="Lista" error="Seleccionar de la lista desplegable" xr:uid="{00000000-0002-0000-0200-00000E000000}">
          <x14:formula1>
            <xm:f>IF($H$39="Trifásica",check!$H$23:$H$33,check!$F$23:$F$40)</xm:f>
          </x14:formula1>
          <xm:sqref>B41:C42</xm:sqref>
        </x14:dataValidation>
        <x14:dataValidation type="list" allowBlank="1" showInputMessage="1" showErrorMessage="1" errorTitle="Lista" error="Seleccionar de la lista desplegable" xr:uid="{00000000-0002-0000-0200-00000F000000}">
          <x14:formula1>
            <xm:f>check!$B$33:$B$34</xm:f>
          </x14:formula1>
          <xm:sqref>E37:F37</xm:sqref>
        </x14:dataValidation>
        <x14:dataValidation type="list" allowBlank="1" showInputMessage="1" showErrorMessage="1" errorTitle="Lista" error="Seleccionar de la lista desplegable" xr:uid="{00000000-0002-0000-0200-000010000000}">
          <x14:formula1>
            <xm:f>check!$B$38:$B$56</xm:f>
          </x14:formula1>
          <xm:sqref>B8:C8 B28:C28</xm:sqref>
        </x14:dataValidation>
        <x14:dataValidation type="list" allowBlank="1" showInputMessage="1" showErrorMessage="1" errorTitle="Lista" error="Seleccionar de la lista desplegable" xr:uid="{00000000-0002-0000-0200-000012000000}">
          <x14:formula1>
            <xm:f>check!$D$6:$D$8</xm:f>
          </x14:formula1>
          <xm:sqref>B18:C18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R185"/>
  <sheetViews>
    <sheetView showGridLines="0" zoomScaleNormal="100" workbookViewId="0"/>
  </sheetViews>
  <sheetFormatPr baseColWidth="10" defaultColWidth="11.5" defaultRowHeight="15" x14ac:dyDescent="0.2"/>
  <cols>
    <col min="1" max="1" width="3.5" customWidth="1"/>
    <col min="2" max="2" width="13.5" customWidth="1"/>
    <col min="3" max="3" width="17.33203125" customWidth="1"/>
    <col min="4" max="4" width="12.33203125" customWidth="1"/>
    <col min="5" max="5" width="23.1640625" customWidth="1"/>
    <col min="6" max="6" width="11.5" customWidth="1"/>
    <col min="7" max="7" width="12.1640625" customWidth="1"/>
    <col min="8" max="8" width="15" customWidth="1"/>
    <col min="9" max="9" width="13.5" customWidth="1"/>
    <col min="10" max="10" width="8.33203125" customWidth="1"/>
    <col min="11" max="11" width="17.33203125" customWidth="1"/>
    <col min="12" max="12" width="14.5" customWidth="1"/>
    <col min="13" max="13" width="14.6640625" customWidth="1"/>
    <col min="14" max="14" width="27" customWidth="1"/>
    <col min="15" max="15" width="23.1640625" customWidth="1"/>
    <col min="16" max="16" width="11.5" customWidth="1"/>
    <col min="17" max="17" width="12.5" customWidth="1"/>
    <col min="18" max="19" width="14.33203125" customWidth="1"/>
    <col min="20" max="20" width="11.5" customWidth="1"/>
    <col min="21" max="22" width="15.1640625" bestFit="1" customWidth="1"/>
    <col min="23" max="23" width="22.1640625" bestFit="1" customWidth="1"/>
    <col min="26" max="26" width="15.1640625" bestFit="1" customWidth="1"/>
    <col min="27" max="27" width="12.83203125" bestFit="1" customWidth="1"/>
    <col min="28" max="28" width="23.33203125" bestFit="1" customWidth="1"/>
    <col min="30" max="30" width="11.83203125" bestFit="1" customWidth="1"/>
    <col min="16384" max="16384" width="0.83203125" customWidth="1"/>
  </cols>
  <sheetData>
    <row r="1" spans="2:17" ht="14.25" customHeight="1" x14ac:dyDescent="0.2"/>
    <row r="2" spans="2:17" ht="14.25" customHeight="1" x14ac:dyDescent="0.2"/>
    <row r="3" spans="2:17" ht="14.25" customHeight="1" x14ac:dyDescent="0.2"/>
    <row r="4" spans="2:17" ht="14.25" customHeight="1" x14ac:dyDescent="0.2"/>
    <row r="5" spans="2:17" ht="26.25" customHeight="1" x14ac:dyDescent="0.2"/>
    <row r="6" spans="2:17" ht="25.5" customHeight="1" x14ac:dyDescent="0.2">
      <c r="B6" s="119" t="s">
        <v>9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</row>
    <row r="7" spans="2:17" s="13" customFormat="1" ht="26.25" customHeight="1" x14ac:dyDescent="0.2">
      <c r="B7" s="7"/>
      <c r="C7" s="7"/>
      <c r="D7" s="7"/>
      <c r="E7" s="7"/>
      <c r="G7" s="7"/>
      <c r="H7" s="7"/>
      <c r="I7" s="7"/>
      <c r="J7" s="7"/>
      <c r="L7" s="7"/>
      <c r="M7" s="7"/>
      <c r="N7" s="17"/>
      <c r="O7" s="17"/>
      <c r="P7" s="17"/>
    </row>
    <row r="8" spans="2:17" s="13" customFormat="1" ht="26.25" customHeight="1" x14ac:dyDescent="0.2">
      <c r="B8" s="30" t="s">
        <v>83</v>
      </c>
      <c r="C8" s="30"/>
      <c r="E8" s="30" t="s">
        <v>85</v>
      </c>
      <c r="F8" s="30"/>
      <c r="H8" s="30" t="s">
        <v>109</v>
      </c>
      <c r="I8" s="30"/>
      <c r="K8" s="17"/>
      <c r="L8" s="17"/>
      <c r="M8" s="17"/>
      <c r="N8" s="17"/>
      <c r="O8" s="17"/>
    </row>
    <row r="9" spans="2:17" s="13" customFormat="1" ht="26.25" customHeight="1" thickBot="1" x14ac:dyDescent="0.25">
      <c r="B9" s="120"/>
      <c r="C9" s="121"/>
      <c r="D9" s="17"/>
      <c r="E9" s="120"/>
      <c r="F9" s="121"/>
      <c r="G9" s="25"/>
      <c r="H9" s="120"/>
      <c r="I9" s="121"/>
      <c r="J9" s="17"/>
      <c r="K9" s="17"/>
      <c r="L9" s="17"/>
      <c r="N9" s="17"/>
      <c r="O9" s="17"/>
    </row>
    <row r="10" spans="2:17" s="13" customFormat="1" ht="26.25" customHeight="1" x14ac:dyDescent="0.2">
      <c r="B10" s="30" t="s">
        <v>84</v>
      </c>
      <c r="C10" s="30"/>
      <c r="E10" s="30" t="s">
        <v>86</v>
      </c>
      <c r="F10" s="30"/>
      <c r="H10" s="30" t="s">
        <v>43</v>
      </c>
      <c r="I10" s="30"/>
      <c r="K10" s="30"/>
      <c r="L10" s="30"/>
    </row>
    <row r="11" spans="2:17" s="13" customFormat="1" ht="26.25" customHeight="1" thickBot="1" x14ac:dyDescent="0.25">
      <c r="B11" s="120"/>
      <c r="C11" s="121"/>
      <c r="D11" s="17"/>
      <c r="E11" s="120"/>
      <c r="F11" s="121"/>
      <c r="G11" s="17"/>
      <c r="H11" s="120"/>
      <c r="I11" s="121"/>
      <c r="J11" s="17"/>
      <c r="K11" s="30"/>
      <c r="L11" s="30"/>
      <c r="N11" s="18"/>
      <c r="O11" s="18"/>
    </row>
    <row r="12" spans="2:17" s="13" customFormat="1" ht="26.25" customHeight="1" x14ac:dyDescent="0.2">
      <c r="B12" s="39"/>
      <c r="C12" s="39"/>
      <c r="D12" s="17"/>
      <c r="E12" s="39"/>
      <c r="F12" s="39"/>
      <c r="G12" s="17"/>
      <c r="H12" s="39" t="str">
        <f>IF(G12=1,"Presentar document tal","")</f>
        <v/>
      </c>
      <c r="I12" s="39"/>
      <c r="J12" s="17"/>
      <c r="K12" s="38"/>
      <c r="N12" s="18"/>
      <c r="O12" s="18"/>
    </row>
    <row r="13" spans="2:17" s="13" customFormat="1" ht="26.25" customHeight="1" x14ac:dyDescent="0.2">
      <c r="B13" s="167" t="s">
        <v>114</v>
      </c>
      <c r="C13" s="167"/>
      <c r="J13" s="124" t="s">
        <v>72</v>
      </c>
      <c r="K13" s="125"/>
      <c r="L13" s="129"/>
    </row>
    <row r="14" spans="2:17" s="13" customFormat="1" ht="26.25" customHeight="1" thickBot="1" x14ac:dyDescent="0.25">
      <c r="B14" s="120"/>
      <c r="C14" s="128"/>
      <c r="D14" s="128"/>
      <c r="E14" s="128"/>
      <c r="F14" s="128"/>
      <c r="G14" s="128"/>
      <c r="H14" s="121"/>
      <c r="I14" s="17"/>
      <c r="J14" s="124"/>
      <c r="K14" s="125"/>
      <c r="L14" s="130"/>
      <c r="M14" s="20"/>
      <c r="N14" s="17"/>
      <c r="O14" s="17"/>
    </row>
    <row r="15" spans="2:17" s="13" customFormat="1" ht="26.25" customHeight="1" x14ac:dyDescent="0.2">
      <c r="L15" s="4"/>
      <c r="M15" s="4"/>
    </row>
    <row r="16" spans="2:17" ht="26.25" customHeight="1" x14ac:dyDescent="0.2">
      <c r="B16" s="119" t="s">
        <v>29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41"/>
    </row>
    <row r="17" spans="1:17" s="41" customFormat="1" ht="26.25" customHeigh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7" s="41" customFormat="1" ht="26.25" customHeight="1" x14ac:dyDescent="0.2">
      <c r="A18"/>
      <c r="B18" s="30" t="s">
        <v>115</v>
      </c>
      <c r="E18" s="30" t="s">
        <v>116</v>
      </c>
      <c r="F18" s="21"/>
      <c r="H18" s="145" t="str">
        <f>IF(B19="Otros","Indicar tipo de documento","")</f>
        <v/>
      </c>
      <c r="I18" s="145"/>
      <c r="L18"/>
      <c r="M18"/>
      <c r="N18"/>
      <c r="O18"/>
      <c r="Q18" s="42"/>
    </row>
    <row r="19" spans="1:17" s="41" customFormat="1" ht="26.25" customHeight="1" thickBot="1" x14ac:dyDescent="0.25">
      <c r="A19"/>
      <c r="B19" s="137"/>
      <c r="C19" s="138"/>
      <c r="E19" s="141"/>
      <c r="F19" s="142"/>
      <c r="H19" s="133"/>
      <c r="I19" s="134"/>
      <c r="K19" s="88" t="str">
        <f>IF(B19="Otros","CI extranjera, pasaporte, BPS, etc.","")</f>
        <v/>
      </c>
      <c r="L19"/>
      <c r="M19" s="16"/>
      <c r="N19"/>
      <c r="O19"/>
    </row>
    <row r="20" spans="1:17" ht="26.25" customHeight="1" x14ac:dyDescent="0.2">
      <c r="B20" s="61" t="str">
        <f>IF(B19="RUT","Razón Social","Nombre y apellido")</f>
        <v>Nombre y apellido</v>
      </c>
      <c r="C20" s="61"/>
      <c r="E20" s="30" t="s">
        <v>190</v>
      </c>
      <c r="F20" s="30"/>
      <c r="G20" s="21"/>
      <c r="H20" s="30" t="s">
        <v>88</v>
      </c>
      <c r="I20" s="30"/>
      <c r="J20" s="15"/>
      <c r="L20" s="15"/>
      <c r="M20" s="15"/>
    </row>
    <row r="21" spans="1:17" ht="26.25" customHeight="1" thickBot="1" x14ac:dyDescent="0.25">
      <c r="B21" s="143"/>
      <c r="C21" s="144"/>
      <c r="E21" s="133"/>
      <c r="F21" s="134"/>
      <c r="G21" s="21"/>
      <c r="H21" s="146"/>
      <c r="I21" s="147"/>
      <c r="L21" s="16"/>
      <c r="M21" s="16"/>
    </row>
    <row r="22" spans="1:17" ht="26.25" customHeight="1" x14ac:dyDescent="0.2">
      <c r="B22" s="22"/>
      <c r="C22" s="22"/>
      <c r="D22" s="21"/>
      <c r="E22" s="21"/>
      <c r="F22" s="21"/>
      <c r="G22" s="19"/>
      <c r="H22" s="19"/>
      <c r="L22" s="16"/>
      <c r="M22" s="16"/>
    </row>
    <row r="23" spans="1:17" ht="26.25" customHeight="1" x14ac:dyDescent="0.2">
      <c r="B23" s="22"/>
      <c r="C23" s="22"/>
      <c r="D23" s="21"/>
      <c r="E23" s="21"/>
      <c r="F23" s="21"/>
      <c r="G23" s="19"/>
      <c r="H23" s="19"/>
      <c r="I23" s="21"/>
      <c r="L23" s="16"/>
      <c r="M23" s="16"/>
    </row>
    <row r="24" spans="1:17" ht="26.25" customHeight="1" x14ac:dyDescent="0.2">
      <c r="B24" s="132" t="s">
        <v>30</v>
      </c>
      <c r="C24" s="132"/>
      <c r="D24" s="132"/>
      <c r="E24" s="132"/>
      <c r="F24" s="21"/>
      <c r="G24" s="19"/>
      <c r="H24" s="19"/>
      <c r="I24" s="21"/>
      <c r="L24" s="16"/>
      <c r="M24" s="16"/>
    </row>
    <row r="25" spans="1:17" ht="15" customHeight="1" x14ac:dyDescent="0.2">
      <c r="B25" s="23"/>
      <c r="C25" s="24"/>
      <c r="D25" s="21"/>
      <c r="E25" s="21"/>
      <c r="F25" s="21"/>
      <c r="G25" s="19"/>
      <c r="H25" s="19"/>
      <c r="I25" s="21"/>
      <c r="L25" s="16"/>
      <c r="M25" s="16"/>
    </row>
    <row r="26" spans="1:17" ht="26.25" customHeight="1" x14ac:dyDescent="0.2">
      <c r="B26" s="30" t="s">
        <v>1</v>
      </c>
      <c r="C26" s="30"/>
      <c r="D26" s="21"/>
      <c r="E26" s="30" t="s">
        <v>44</v>
      </c>
      <c r="F26" s="30"/>
      <c r="G26" s="21"/>
      <c r="H26" s="30" t="s">
        <v>43</v>
      </c>
      <c r="I26" s="30"/>
      <c r="K26" s="30" t="s">
        <v>3</v>
      </c>
      <c r="L26" s="30"/>
    </row>
    <row r="27" spans="1:17" ht="26.25" customHeight="1" thickBot="1" x14ac:dyDescent="0.25">
      <c r="B27" s="122"/>
      <c r="C27" s="123"/>
      <c r="D27" s="21"/>
      <c r="E27" s="122"/>
      <c r="F27" s="123"/>
      <c r="G27" s="19"/>
      <c r="H27" s="122"/>
      <c r="I27" s="123"/>
      <c r="J27" s="7"/>
      <c r="K27" s="122"/>
      <c r="L27" s="123"/>
      <c r="M27" s="2"/>
      <c r="N27" s="7"/>
      <c r="O27" s="7"/>
    </row>
    <row r="28" spans="1:17" ht="26.25" customHeight="1" x14ac:dyDescent="0.2">
      <c r="B28" s="30" t="s">
        <v>4</v>
      </c>
      <c r="C28" s="30"/>
      <c r="D28" s="21"/>
      <c r="E28" s="30" t="s">
        <v>5</v>
      </c>
      <c r="F28" s="30"/>
      <c r="G28" s="21"/>
      <c r="H28" s="21"/>
      <c r="I28" s="21"/>
      <c r="L28" s="1"/>
      <c r="M28" s="1"/>
    </row>
    <row r="29" spans="1:17" ht="26.25" customHeight="1" thickBot="1" x14ac:dyDescent="0.25">
      <c r="B29" s="120"/>
      <c r="C29" s="121"/>
      <c r="D29" s="21"/>
      <c r="E29" s="122"/>
      <c r="F29" s="123"/>
      <c r="G29" s="22"/>
      <c r="H29" s="22"/>
      <c r="I29" s="21"/>
      <c r="J29" s="7"/>
      <c r="L29" s="1"/>
      <c r="M29" s="1"/>
    </row>
    <row r="30" spans="1:17" ht="26.25" customHeight="1" x14ac:dyDescent="0.2">
      <c r="B30" s="2"/>
      <c r="C30" s="2"/>
      <c r="D30" s="3"/>
      <c r="E30" s="3"/>
      <c r="G30" s="2"/>
      <c r="H30" s="2"/>
      <c r="I30" s="3"/>
      <c r="J30" s="3"/>
      <c r="L30" s="3"/>
      <c r="M30" s="3"/>
      <c r="N30" s="3"/>
      <c r="O30" s="3"/>
    </row>
    <row r="31" spans="1:17" ht="26.25" customHeight="1" x14ac:dyDescent="0.2">
      <c r="B31" s="140" t="s">
        <v>31</v>
      </c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</row>
    <row r="32" spans="1:17" ht="26.25" customHeight="1" x14ac:dyDescent="0.2"/>
    <row r="33" spans="2:18" ht="26.25" customHeight="1" x14ac:dyDescent="0.2">
      <c r="B33" s="30" t="s">
        <v>102</v>
      </c>
      <c r="C33" s="30"/>
      <c r="D33" s="26"/>
      <c r="E33" s="30" t="s">
        <v>90</v>
      </c>
      <c r="F33" s="26"/>
      <c r="G33" s="27"/>
      <c r="H33" s="30" t="s">
        <v>91</v>
      </c>
      <c r="I33" s="30"/>
      <c r="K33" s="30" t="s">
        <v>94</v>
      </c>
      <c r="L33" s="30"/>
    </row>
    <row r="34" spans="2:18" ht="26.25" customHeight="1" thickBot="1" x14ac:dyDescent="0.25">
      <c r="B34" s="122"/>
      <c r="C34" s="123"/>
      <c r="D34" s="10"/>
      <c r="E34" s="122"/>
      <c r="F34" s="123"/>
      <c r="G34" s="10"/>
      <c r="H34" s="122"/>
      <c r="I34" s="123"/>
      <c r="J34" s="10"/>
      <c r="K34" s="120"/>
      <c r="L34" s="121"/>
    </row>
    <row r="35" spans="2:18" ht="26.25" customHeight="1" x14ac:dyDescent="0.2">
      <c r="B35" s="139" t="s">
        <v>33</v>
      </c>
      <c r="C35" s="139"/>
      <c r="D35" s="26"/>
      <c r="E35" s="48" t="s">
        <v>14</v>
      </c>
      <c r="F35" s="50" t="s">
        <v>121</v>
      </c>
      <c r="G35" s="27"/>
      <c r="H35" s="30" t="s">
        <v>93</v>
      </c>
      <c r="I35" s="30"/>
      <c r="K35" s="30" t="s">
        <v>183</v>
      </c>
      <c r="L35" s="26"/>
    </row>
    <row r="36" spans="2:18" ht="26.25" customHeight="1" thickBot="1" x14ac:dyDescent="0.25">
      <c r="B36" s="122"/>
      <c r="C36" s="123"/>
      <c r="E36" s="122"/>
      <c r="F36" s="123"/>
      <c r="H36" s="122"/>
      <c r="I36" s="123"/>
      <c r="K36" s="122"/>
      <c r="L36" s="123"/>
    </row>
    <row r="37" spans="2:18" ht="15.75" customHeight="1" x14ac:dyDescent="0.2"/>
    <row r="40" spans="2:18" ht="19" x14ac:dyDescent="0.25">
      <c r="B40" s="33" t="s">
        <v>103</v>
      </c>
      <c r="C40" s="28"/>
      <c r="D40" s="28"/>
      <c r="K40" s="33" t="s">
        <v>104</v>
      </c>
      <c r="M40" s="33"/>
      <c r="N40" s="33"/>
      <c r="O40" s="33"/>
      <c r="P40" s="33"/>
      <c r="Q40" s="33"/>
      <c r="R40" s="33"/>
    </row>
    <row r="41" spans="2:18" ht="19" x14ac:dyDescent="0.25">
      <c r="B41" s="33"/>
      <c r="C41" s="28"/>
      <c r="D41" s="28"/>
      <c r="K41" s="33"/>
      <c r="M41" s="33"/>
      <c r="N41" s="33"/>
      <c r="O41" s="33"/>
      <c r="P41" s="33"/>
      <c r="Q41" s="33"/>
      <c r="R41" s="33"/>
    </row>
    <row r="42" spans="2:18" ht="19" x14ac:dyDescent="0.25">
      <c r="B42" s="189" t="s">
        <v>188</v>
      </c>
      <c r="C42" s="189"/>
      <c r="D42" s="189"/>
      <c r="E42" s="189"/>
      <c r="F42" s="189"/>
      <c r="G42" s="189"/>
      <c r="H42" s="189"/>
      <c r="K42" s="33"/>
      <c r="M42" s="33"/>
      <c r="N42" s="33"/>
      <c r="O42" s="33"/>
      <c r="P42" s="33"/>
      <c r="Q42" s="33"/>
      <c r="R42" s="33"/>
    </row>
    <row r="44" spans="2:18" ht="30" customHeight="1" x14ac:dyDescent="0.2">
      <c r="B44" s="181" t="s">
        <v>47</v>
      </c>
      <c r="C44" s="183" t="s">
        <v>27</v>
      </c>
      <c r="D44" s="185" t="s">
        <v>40</v>
      </c>
      <c r="E44" s="177" t="s">
        <v>23</v>
      </c>
      <c r="F44" s="177" t="s">
        <v>50</v>
      </c>
      <c r="G44" s="179" t="s">
        <v>52</v>
      </c>
      <c r="H44" s="187" t="s">
        <v>26</v>
      </c>
      <c r="I44" s="188"/>
      <c r="J44" s="13"/>
      <c r="K44" s="181" t="s">
        <v>47</v>
      </c>
      <c r="L44" s="183" t="s">
        <v>27</v>
      </c>
      <c r="M44" s="185" t="s">
        <v>40</v>
      </c>
      <c r="N44" s="177" t="s">
        <v>23</v>
      </c>
      <c r="O44" s="177" t="s">
        <v>50</v>
      </c>
      <c r="P44" s="179" t="s">
        <v>52</v>
      </c>
      <c r="Q44" s="187" t="s">
        <v>26</v>
      </c>
      <c r="R44" s="188"/>
    </row>
    <row r="45" spans="2:18" ht="35" thickBot="1" x14ac:dyDescent="0.25">
      <c r="B45" s="182"/>
      <c r="C45" s="184"/>
      <c r="D45" s="186"/>
      <c r="E45" s="178"/>
      <c r="F45" s="178"/>
      <c r="G45" s="180"/>
      <c r="H45" s="82" t="s">
        <v>182</v>
      </c>
      <c r="I45" s="34" t="s">
        <v>181</v>
      </c>
      <c r="J45" s="13"/>
      <c r="K45" s="182"/>
      <c r="L45" s="184"/>
      <c r="M45" s="186"/>
      <c r="N45" s="178"/>
      <c r="O45" s="178"/>
      <c r="P45" s="180"/>
      <c r="Q45" s="82" t="s">
        <v>182</v>
      </c>
      <c r="R45" s="34" t="s">
        <v>181</v>
      </c>
    </row>
    <row r="46" spans="2:18" s="40" customFormat="1" x14ac:dyDescent="0.2">
      <c r="B46" s="35"/>
      <c r="C46" s="79"/>
      <c r="D46" s="83"/>
      <c r="E46" s="83"/>
      <c r="F46" s="83"/>
      <c r="G46" s="83"/>
      <c r="H46" s="35"/>
      <c r="I46" s="35"/>
      <c r="K46" s="35"/>
      <c r="L46" s="79"/>
      <c r="M46" s="83"/>
      <c r="N46" s="83"/>
      <c r="O46" s="83"/>
      <c r="P46" s="83"/>
      <c r="Q46" s="35"/>
      <c r="R46" s="35"/>
    </row>
    <row r="47" spans="2:18" s="40" customFormat="1" x14ac:dyDescent="0.2">
      <c r="B47" s="36"/>
      <c r="C47" s="80"/>
      <c r="D47" s="84"/>
      <c r="E47" s="84"/>
      <c r="F47" s="84"/>
      <c r="G47" s="84"/>
      <c r="H47" s="36"/>
      <c r="I47" s="36"/>
      <c r="K47" s="36"/>
      <c r="L47" s="80"/>
      <c r="M47" s="84"/>
      <c r="N47" s="84"/>
      <c r="O47" s="84"/>
      <c r="P47" s="84"/>
      <c r="Q47" s="36"/>
      <c r="R47" s="36"/>
    </row>
    <row r="48" spans="2:18" s="40" customFormat="1" x14ac:dyDescent="0.2">
      <c r="B48" s="36"/>
      <c r="C48" s="80"/>
      <c r="D48" s="84"/>
      <c r="E48" s="84"/>
      <c r="F48" s="84"/>
      <c r="G48" s="84"/>
      <c r="H48" s="36"/>
      <c r="I48" s="36"/>
      <c r="K48" s="36"/>
      <c r="L48" s="80"/>
      <c r="M48" s="84"/>
      <c r="N48" s="84"/>
      <c r="O48" s="84"/>
      <c r="P48" s="84"/>
      <c r="Q48" s="36"/>
      <c r="R48" s="36"/>
    </row>
    <row r="49" spans="2:18" s="40" customFormat="1" x14ac:dyDescent="0.2">
      <c r="B49" s="36"/>
      <c r="C49" s="80"/>
      <c r="D49" s="84"/>
      <c r="E49" s="84"/>
      <c r="F49" s="84"/>
      <c r="G49" s="84"/>
      <c r="H49" s="36"/>
      <c r="I49" s="36"/>
      <c r="K49" s="36"/>
      <c r="L49" s="80"/>
      <c r="M49" s="84"/>
      <c r="N49" s="84"/>
      <c r="O49" s="84"/>
      <c r="P49" s="84"/>
      <c r="Q49" s="36"/>
      <c r="R49" s="36"/>
    </row>
    <row r="50" spans="2:18" s="40" customFormat="1" x14ac:dyDescent="0.2">
      <c r="B50" s="36"/>
      <c r="C50" s="80"/>
      <c r="D50" s="84"/>
      <c r="E50" s="84"/>
      <c r="F50" s="84"/>
      <c r="G50" s="84"/>
      <c r="H50" s="36"/>
      <c r="I50" s="36"/>
      <c r="K50" s="36"/>
      <c r="L50" s="80"/>
      <c r="M50" s="84"/>
      <c r="N50" s="84"/>
      <c r="O50" s="84"/>
      <c r="P50" s="84"/>
      <c r="Q50" s="36"/>
      <c r="R50" s="36"/>
    </row>
    <row r="51" spans="2:18" s="40" customFormat="1" x14ac:dyDescent="0.2">
      <c r="B51" s="36"/>
      <c r="C51" s="80"/>
      <c r="D51" s="84"/>
      <c r="E51" s="84"/>
      <c r="F51" s="84"/>
      <c r="G51" s="84"/>
      <c r="H51" s="36"/>
      <c r="I51" s="36"/>
      <c r="K51" s="36"/>
      <c r="L51" s="80"/>
      <c r="M51" s="84"/>
      <c r="N51" s="84"/>
      <c r="O51" s="84"/>
      <c r="P51" s="84"/>
      <c r="Q51" s="36"/>
      <c r="R51" s="36"/>
    </row>
    <row r="52" spans="2:18" s="40" customFormat="1" x14ac:dyDescent="0.2">
      <c r="B52" s="36"/>
      <c r="C52" s="80"/>
      <c r="D52" s="84"/>
      <c r="E52" s="84"/>
      <c r="F52" s="84"/>
      <c r="G52" s="84"/>
      <c r="H52" s="36"/>
      <c r="I52" s="36"/>
      <c r="K52" s="36"/>
      <c r="L52" s="80"/>
      <c r="M52" s="84"/>
      <c r="N52" s="84"/>
      <c r="O52" s="84"/>
      <c r="P52" s="84"/>
      <c r="Q52" s="36"/>
      <c r="R52" s="36"/>
    </row>
    <row r="53" spans="2:18" s="40" customFormat="1" x14ac:dyDescent="0.2">
      <c r="B53" s="36"/>
      <c r="C53" s="80"/>
      <c r="D53" s="84"/>
      <c r="E53" s="84"/>
      <c r="F53" s="84"/>
      <c r="G53" s="84"/>
      <c r="H53" s="36"/>
      <c r="I53" s="36"/>
      <c r="K53" s="36"/>
      <c r="L53" s="80"/>
      <c r="M53" s="84"/>
      <c r="N53" s="84"/>
      <c r="O53" s="84"/>
      <c r="P53" s="84"/>
      <c r="Q53" s="36"/>
      <c r="R53" s="36"/>
    </row>
    <row r="54" spans="2:18" s="40" customFormat="1" x14ac:dyDescent="0.2">
      <c r="B54" s="36"/>
      <c r="C54" s="80"/>
      <c r="D54" s="84"/>
      <c r="E54" s="84"/>
      <c r="F54" s="84"/>
      <c r="G54" s="84"/>
      <c r="H54" s="36"/>
      <c r="I54" s="36"/>
      <c r="K54" s="36"/>
      <c r="L54" s="80"/>
      <c r="M54" s="84"/>
      <c r="N54" s="84"/>
      <c r="O54" s="84"/>
      <c r="P54" s="84"/>
      <c r="Q54" s="36"/>
      <c r="R54" s="36"/>
    </row>
    <row r="55" spans="2:18" s="40" customFormat="1" x14ac:dyDescent="0.2">
      <c r="B55" s="36"/>
      <c r="C55" s="80"/>
      <c r="D55" s="84"/>
      <c r="E55" s="84"/>
      <c r="F55" s="84"/>
      <c r="G55" s="84"/>
      <c r="H55" s="36"/>
      <c r="I55" s="36"/>
      <c r="K55" s="36"/>
      <c r="L55" s="80"/>
      <c r="M55" s="84"/>
      <c r="N55" s="84"/>
      <c r="O55" s="84"/>
      <c r="P55" s="84"/>
      <c r="Q55" s="36"/>
      <c r="R55" s="36"/>
    </row>
    <row r="56" spans="2:18" s="40" customFormat="1" x14ac:dyDescent="0.2">
      <c r="B56" s="36"/>
      <c r="C56" s="80"/>
      <c r="D56" s="84"/>
      <c r="E56" s="84"/>
      <c r="F56" s="84"/>
      <c r="G56" s="84"/>
      <c r="H56" s="36"/>
      <c r="I56" s="36"/>
      <c r="K56" s="36"/>
      <c r="L56" s="80"/>
      <c r="M56" s="84"/>
      <c r="N56" s="84"/>
      <c r="O56" s="84"/>
      <c r="P56" s="84"/>
      <c r="Q56" s="36"/>
      <c r="R56" s="36"/>
    </row>
    <row r="57" spans="2:18" s="40" customFormat="1" x14ac:dyDescent="0.2">
      <c r="B57" s="36"/>
      <c r="C57" s="80"/>
      <c r="D57" s="84"/>
      <c r="E57" s="84"/>
      <c r="F57" s="84"/>
      <c r="G57" s="84"/>
      <c r="H57" s="36"/>
      <c r="I57" s="36"/>
      <c r="K57" s="36"/>
      <c r="L57" s="80"/>
      <c r="M57" s="84"/>
      <c r="N57" s="84"/>
      <c r="O57" s="84"/>
      <c r="P57" s="84"/>
      <c r="Q57" s="36"/>
      <c r="R57" s="36"/>
    </row>
    <row r="58" spans="2:18" s="40" customFormat="1" x14ac:dyDescent="0.2">
      <c r="B58" s="36"/>
      <c r="C58" s="80"/>
      <c r="D58" s="84"/>
      <c r="E58" s="84"/>
      <c r="F58" s="84"/>
      <c r="G58" s="84"/>
      <c r="H58" s="36"/>
      <c r="I58" s="36"/>
      <c r="K58" s="36"/>
      <c r="L58" s="80"/>
      <c r="M58" s="84"/>
      <c r="N58" s="84"/>
      <c r="O58" s="84"/>
      <c r="P58" s="84"/>
      <c r="Q58" s="36"/>
      <c r="R58" s="36"/>
    </row>
    <row r="59" spans="2:18" s="40" customFormat="1" x14ac:dyDescent="0.2">
      <c r="B59" s="36"/>
      <c r="C59" s="80"/>
      <c r="D59" s="84"/>
      <c r="E59" s="84"/>
      <c r="F59" s="84"/>
      <c r="G59" s="84"/>
      <c r="H59" s="36"/>
      <c r="I59" s="36"/>
      <c r="K59" s="36"/>
      <c r="L59" s="80"/>
      <c r="M59" s="84"/>
      <c r="N59" s="84"/>
      <c r="O59" s="84"/>
      <c r="P59" s="84"/>
      <c r="Q59" s="36"/>
      <c r="R59" s="36"/>
    </row>
    <row r="60" spans="2:18" s="40" customFormat="1" x14ac:dyDescent="0.2">
      <c r="B60" s="36"/>
      <c r="C60" s="80"/>
      <c r="D60" s="84"/>
      <c r="E60" s="84"/>
      <c r="F60" s="84"/>
      <c r="G60" s="84"/>
      <c r="H60" s="36"/>
      <c r="I60" s="36"/>
      <c r="K60" s="36"/>
      <c r="L60" s="80"/>
      <c r="M60" s="84"/>
      <c r="N60" s="84"/>
      <c r="O60" s="84"/>
      <c r="P60" s="84"/>
      <c r="Q60" s="36"/>
      <c r="R60" s="36"/>
    </row>
    <row r="61" spans="2:18" s="40" customFormat="1" x14ac:dyDescent="0.2">
      <c r="B61" s="36"/>
      <c r="C61" s="80"/>
      <c r="D61" s="84"/>
      <c r="E61" s="84"/>
      <c r="F61" s="84"/>
      <c r="G61" s="84"/>
      <c r="H61" s="36"/>
      <c r="I61" s="36"/>
      <c r="K61" s="36"/>
      <c r="L61" s="80"/>
      <c r="M61" s="84"/>
      <c r="N61" s="84"/>
      <c r="O61" s="84"/>
      <c r="P61" s="84"/>
      <c r="Q61" s="36"/>
      <c r="R61" s="36"/>
    </row>
    <row r="62" spans="2:18" s="40" customFormat="1" x14ac:dyDescent="0.2">
      <c r="B62" s="36"/>
      <c r="C62" s="80"/>
      <c r="D62" s="84"/>
      <c r="E62" s="84"/>
      <c r="F62" s="84"/>
      <c r="G62" s="84"/>
      <c r="H62" s="36"/>
      <c r="I62" s="36"/>
      <c r="K62" s="36"/>
      <c r="L62" s="80"/>
      <c r="M62" s="84"/>
      <c r="N62" s="84"/>
      <c r="O62" s="84"/>
      <c r="P62" s="84"/>
      <c r="Q62" s="36"/>
      <c r="R62" s="36"/>
    </row>
    <row r="63" spans="2:18" s="40" customFormat="1" x14ac:dyDescent="0.2">
      <c r="B63" s="36"/>
      <c r="C63" s="80"/>
      <c r="D63" s="84"/>
      <c r="E63" s="84"/>
      <c r="F63" s="84"/>
      <c r="G63" s="84"/>
      <c r="H63" s="36"/>
      <c r="I63" s="36"/>
      <c r="K63" s="36"/>
      <c r="L63" s="80"/>
      <c r="M63" s="84"/>
      <c r="N63" s="84"/>
      <c r="O63" s="84"/>
      <c r="P63" s="84"/>
      <c r="Q63" s="36"/>
      <c r="R63" s="36"/>
    </row>
    <row r="64" spans="2:18" s="40" customFormat="1" x14ac:dyDescent="0.2">
      <c r="B64" s="36"/>
      <c r="C64" s="80"/>
      <c r="D64" s="84"/>
      <c r="E64" s="84"/>
      <c r="F64" s="84"/>
      <c r="G64" s="84"/>
      <c r="H64" s="36"/>
      <c r="I64" s="36"/>
      <c r="K64" s="36"/>
      <c r="L64" s="80"/>
      <c r="M64" s="84"/>
      <c r="N64" s="84"/>
      <c r="O64" s="84"/>
      <c r="P64" s="84"/>
      <c r="Q64" s="36"/>
      <c r="R64" s="36"/>
    </row>
    <row r="65" spans="2:18" s="40" customFormat="1" x14ac:dyDescent="0.2">
      <c r="B65" s="36"/>
      <c r="C65" s="80"/>
      <c r="D65" s="84"/>
      <c r="E65" s="84"/>
      <c r="F65" s="84"/>
      <c r="G65" s="84"/>
      <c r="H65" s="36"/>
      <c r="I65" s="36"/>
      <c r="K65" s="36"/>
      <c r="L65" s="80"/>
      <c r="M65" s="84"/>
      <c r="N65" s="84"/>
      <c r="O65" s="84"/>
      <c r="P65" s="84"/>
      <c r="Q65" s="36"/>
      <c r="R65" s="36"/>
    </row>
    <row r="66" spans="2:18" s="40" customFormat="1" x14ac:dyDescent="0.2">
      <c r="B66" s="36"/>
      <c r="C66" s="80"/>
      <c r="D66" s="84"/>
      <c r="E66" s="84"/>
      <c r="F66" s="84"/>
      <c r="G66" s="84"/>
      <c r="H66" s="36"/>
      <c r="I66" s="36"/>
      <c r="K66" s="36"/>
      <c r="L66" s="80"/>
      <c r="M66" s="84"/>
      <c r="N66" s="84"/>
      <c r="O66" s="84"/>
      <c r="P66" s="84"/>
      <c r="Q66" s="36"/>
      <c r="R66" s="36"/>
    </row>
    <row r="67" spans="2:18" s="40" customFormat="1" x14ac:dyDescent="0.2">
      <c r="B67" s="36"/>
      <c r="C67" s="80"/>
      <c r="D67" s="84"/>
      <c r="E67" s="84"/>
      <c r="F67" s="84"/>
      <c r="G67" s="84"/>
      <c r="H67" s="36"/>
      <c r="I67" s="36"/>
      <c r="K67" s="36"/>
      <c r="L67" s="80"/>
      <c r="M67" s="84"/>
      <c r="N67" s="84"/>
      <c r="O67" s="84"/>
      <c r="P67" s="84"/>
      <c r="Q67" s="36"/>
      <c r="R67" s="36"/>
    </row>
    <row r="68" spans="2:18" s="40" customFormat="1" x14ac:dyDescent="0.2">
      <c r="B68" s="36"/>
      <c r="C68" s="80"/>
      <c r="D68" s="84"/>
      <c r="E68" s="84"/>
      <c r="F68" s="84"/>
      <c r="G68" s="84"/>
      <c r="H68" s="36"/>
      <c r="I68" s="36"/>
      <c r="K68" s="36"/>
      <c r="L68" s="80"/>
      <c r="M68" s="84"/>
      <c r="N68" s="84"/>
      <c r="O68" s="84"/>
      <c r="P68" s="84"/>
      <c r="Q68" s="36"/>
      <c r="R68" s="36"/>
    </row>
    <row r="69" spans="2:18" s="40" customFormat="1" x14ac:dyDescent="0.2">
      <c r="B69" s="36"/>
      <c r="C69" s="80"/>
      <c r="D69" s="84"/>
      <c r="E69" s="84"/>
      <c r="F69" s="84"/>
      <c r="G69" s="84"/>
      <c r="H69" s="36"/>
      <c r="I69" s="36"/>
      <c r="K69" s="36"/>
      <c r="L69" s="80"/>
      <c r="M69" s="84"/>
      <c r="N69" s="84"/>
      <c r="O69" s="84"/>
      <c r="P69" s="84"/>
      <c r="Q69" s="36"/>
      <c r="R69" s="36"/>
    </row>
    <row r="70" spans="2:18" s="40" customFormat="1" x14ac:dyDescent="0.2">
      <c r="B70" s="36"/>
      <c r="C70" s="80"/>
      <c r="D70" s="84"/>
      <c r="E70" s="84"/>
      <c r="F70" s="84"/>
      <c r="G70" s="84"/>
      <c r="H70" s="36"/>
      <c r="I70" s="36"/>
      <c r="K70" s="36"/>
      <c r="L70" s="80"/>
      <c r="M70" s="84"/>
      <c r="N70" s="84"/>
      <c r="O70" s="84"/>
      <c r="P70" s="84"/>
      <c r="Q70" s="36"/>
      <c r="R70" s="36"/>
    </row>
    <row r="71" spans="2:18" s="40" customFormat="1" x14ac:dyDescent="0.2">
      <c r="B71" s="36"/>
      <c r="C71" s="80"/>
      <c r="D71" s="84"/>
      <c r="E71" s="84"/>
      <c r="F71" s="84"/>
      <c r="G71" s="84"/>
      <c r="H71" s="36"/>
      <c r="I71" s="36"/>
      <c r="K71" s="36"/>
      <c r="L71" s="80"/>
      <c r="M71" s="84"/>
      <c r="N71" s="84"/>
      <c r="O71" s="84"/>
      <c r="P71" s="84"/>
      <c r="Q71" s="36"/>
      <c r="R71" s="36"/>
    </row>
    <row r="72" spans="2:18" s="40" customFormat="1" x14ac:dyDescent="0.2">
      <c r="B72" s="36"/>
      <c r="C72" s="80"/>
      <c r="D72" s="84"/>
      <c r="E72" s="84"/>
      <c r="F72" s="84"/>
      <c r="G72" s="84"/>
      <c r="H72" s="36"/>
      <c r="I72" s="36"/>
      <c r="K72" s="36"/>
      <c r="L72" s="80"/>
      <c r="M72" s="84"/>
      <c r="N72" s="84"/>
      <c r="O72" s="84"/>
      <c r="P72" s="84"/>
      <c r="Q72" s="36"/>
      <c r="R72" s="36"/>
    </row>
    <row r="73" spans="2:18" s="40" customFormat="1" x14ac:dyDescent="0.2">
      <c r="B73" s="36"/>
      <c r="C73" s="80"/>
      <c r="D73" s="84"/>
      <c r="E73" s="84"/>
      <c r="F73" s="84"/>
      <c r="G73" s="84"/>
      <c r="H73" s="36"/>
      <c r="I73" s="36"/>
      <c r="K73" s="36"/>
      <c r="L73" s="80"/>
      <c r="M73" s="84"/>
      <c r="N73" s="84"/>
      <c r="O73" s="84"/>
      <c r="P73" s="84"/>
      <c r="Q73" s="36"/>
      <c r="R73" s="36"/>
    </row>
    <row r="74" spans="2:18" s="40" customFormat="1" x14ac:dyDescent="0.2">
      <c r="B74" s="36"/>
      <c r="C74" s="80"/>
      <c r="D74" s="84"/>
      <c r="E74" s="84"/>
      <c r="F74" s="84"/>
      <c r="G74" s="84"/>
      <c r="H74" s="36"/>
      <c r="I74" s="36"/>
      <c r="K74" s="36"/>
      <c r="L74" s="80"/>
      <c r="M74" s="84"/>
      <c r="N74" s="84"/>
      <c r="O74" s="84"/>
      <c r="P74" s="84"/>
      <c r="Q74" s="36"/>
      <c r="R74" s="36"/>
    </row>
    <row r="75" spans="2:18" s="40" customFormat="1" x14ac:dyDescent="0.2">
      <c r="B75" s="36"/>
      <c r="C75" s="80"/>
      <c r="D75" s="84"/>
      <c r="E75" s="84"/>
      <c r="F75" s="84"/>
      <c r="G75" s="84"/>
      <c r="H75" s="36"/>
      <c r="I75" s="36"/>
      <c r="K75" s="36"/>
      <c r="L75" s="80"/>
      <c r="M75" s="84"/>
      <c r="N75" s="84"/>
      <c r="O75" s="84"/>
      <c r="P75" s="84"/>
      <c r="Q75" s="36"/>
      <c r="R75" s="36"/>
    </row>
    <row r="76" spans="2:18" s="40" customFormat="1" x14ac:dyDescent="0.2">
      <c r="B76" s="36"/>
      <c r="C76" s="80"/>
      <c r="D76" s="84"/>
      <c r="E76" s="84"/>
      <c r="F76" s="84"/>
      <c r="G76" s="84"/>
      <c r="H76" s="36"/>
      <c r="I76" s="36"/>
      <c r="K76" s="36"/>
      <c r="L76" s="80"/>
      <c r="M76" s="84"/>
      <c r="N76" s="84"/>
      <c r="O76" s="84"/>
      <c r="P76" s="84"/>
      <c r="Q76" s="36"/>
      <c r="R76" s="36"/>
    </row>
    <row r="77" spans="2:18" s="40" customFormat="1" x14ac:dyDescent="0.2">
      <c r="B77" s="36"/>
      <c r="C77" s="80"/>
      <c r="D77" s="84"/>
      <c r="E77" s="84"/>
      <c r="F77" s="84"/>
      <c r="G77" s="84"/>
      <c r="H77" s="36"/>
      <c r="I77" s="36"/>
      <c r="K77" s="36"/>
      <c r="L77" s="80"/>
      <c r="M77" s="84"/>
      <c r="N77" s="84"/>
      <c r="O77" s="84"/>
      <c r="P77" s="84"/>
      <c r="Q77" s="36"/>
      <c r="R77" s="36"/>
    </row>
    <row r="78" spans="2:18" s="40" customFormat="1" x14ac:dyDescent="0.2">
      <c r="B78" s="36"/>
      <c r="C78" s="80"/>
      <c r="D78" s="84"/>
      <c r="E78" s="84"/>
      <c r="F78" s="84"/>
      <c r="G78" s="84"/>
      <c r="H78" s="36"/>
      <c r="I78" s="36"/>
      <c r="K78" s="36"/>
      <c r="L78" s="80"/>
      <c r="M78" s="84"/>
      <c r="N78" s="84"/>
      <c r="O78" s="84"/>
      <c r="P78" s="84"/>
      <c r="Q78" s="36"/>
      <c r="R78" s="36"/>
    </row>
    <row r="79" spans="2:18" s="40" customFormat="1" x14ac:dyDescent="0.2">
      <c r="B79" s="36"/>
      <c r="C79" s="80"/>
      <c r="D79" s="84"/>
      <c r="E79" s="84"/>
      <c r="F79" s="84"/>
      <c r="G79" s="84"/>
      <c r="H79" s="36"/>
      <c r="I79" s="36"/>
      <c r="K79" s="36"/>
      <c r="L79" s="80"/>
      <c r="M79" s="84"/>
      <c r="N79" s="84"/>
      <c r="O79" s="84"/>
      <c r="P79" s="84"/>
      <c r="Q79" s="36"/>
      <c r="R79" s="36"/>
    </row>
    <row r="80" spans="2:18" s="40" customFormat="1" x14ac:dyDescent="0.2">
      <c r="B80" s="36"/>
      <c r="C80" s="80"/>
      <c r="D80" s="84"/>
      <c r="E80" s="84"/>
      <c r="F80" s="84"/>
      <c r="G80" s="84"/>
      <c r="H80" s="36"/>
      <c r="I80" s="36"/>
      <c r="K80" s="36"/>
      <c r="L80" s="80"/>
      <c r="M80" s="84"/>
      <c r="N80" s="84"/>
      <c r="O80" s="84"/>
      <c r="P80" s="84"/>
      <c r="Q80" s="36"/>
      <c r="R80" s="36"/>
    </row>
    <row r="81" spans="2:18" s="40" customFormat="1" x14ac:dyDescent="0.2">
      <c r="B81" s="36"/>
      <c r="C81" s="80"/>
      <c r="D81" s="84"/>
      <c r="E81" s="84"/>
      <c r="F81" s="84"/>
      <c r="G81" s="84"/>
      <c r="H81" s="36"/>
      <c r="I81" s="36"/>
      <c r="K81" s="36"/>
      <c r="L81" s="80"/>
      <c r="M81" s="84"/>
      <c r="N81" s="84"/>
      <c r="O81" s="84"/>
      <c r="P81" s="84"/>
      <c r="Q81" s="36"/>
      <c r="R81" s="36"/>
    </row>
    <row r="82" spans="2:18" s="40" customFormat="1" x14ac:dyDescent="0.2">
      <c r="B82" s="36"/>
      <c r="C82" s="80"/>
      <c r="D82" s="84"/>
      <c r="E82" s="84"/>
      <c r="F82" s="84"/>
      <c r="G82" s="84"/>
      <c r="H82" s="36"/>
      <c r="I82" s="36"/>
      <c r="K82" s="36"/>
      <c r="L82" s="80"/>
      <c r="M82" s="84"/>
      <c r="N82" s="84"/>
      <c r="O82" s="84"/>
      <c r="P82" s="84"/>
      <c r="Q82" s="36"/>
      <c r="R82" s="36"/>
    </row>
    <row r="83" spans="2:18" s="40" customFormat="1" x14ac:dyDescent="0.2">
      <c r="B83" s="36"/>
      <c r="C83" s="80"/>
      <c r="D83" s="84"/>
      <c r="E83" s="84"/>
      <c r="F83" s="84"/>
      <c r="G83" s="84"/>
      <c r="H83" s="36"/>
      <c r="I83" s="36"/>
      <c r="K83" s="36"/>
      <c r="L83" s="80"/>
      <c r="M83" s="84"/>
      <c r="N83" s="84"/>
      <c r="O83" s="84"/>
      <c r="P83" s="84"/>
      <c r="Q83" s="36"/>
      <c r="R83" s="36"/>
    </row>
    <row r="84" spans="2:18" s="40" customFormat="1" x14ac:dyDescent="0.2">
      <c r="B84" s="36"/>
      <c r="C84" s="80"/>
      <c r="D84" s="84"/>
      <c r="E84" s="84"/>
      <c r="F84" s="84"/>
      <c r="G84" s="84"/>
      <c r="H84" s="36"/>
      <c r="I84" s="36"/>
      <c r="K84" s="36"/>
      <c r="L84" s="80"/>
      <c r="M84" s="84"/>
      <c r="N84" s="84"/>
      <c r="O84" s="84"/>
      <c r="P84" s="84"/>
      <c r="Q84" s="36"/>
      <c r="R84" s="36"/>
    </row>
    <row r="85" spans="2:18" s="40" customFormat="1" x14ac:dyDescent="0.2">
      <c r="B85" s="36"/>
      <c r="C85" s="80"/>
      <c r="D85" s="84"/>
      <c r="E85" s="84"/>
      <c r="F85" s="84"/>
      <c r="G85" s="84"/>
      <c r="H85" s="36"/>
      <c r="I85" s="36"/>
      <c r="K85" s="36"/>
      <c r="L85" s="80"/>
      <c r="M85" s="84"/>
      <c r="N85" s="84"/>
      <c r="O85" s="84"/>
      <c r="P85" s="84"/>
      <c r="Q85" s="36"/>
      <c r="R85" s="36"/>
    </row>
    <row r="86" spans="2:18" s="40" customFormat="1" x14ac:dyDescent="0.2">
      <c r="B86" s="36"/>
      <c r="C86" s="80"/>
      <c r="D86" s="84"/>
      <c r="E86" s="84"/>
      <c r="F86" s="84"/>
      <c r="G86" s="84"/>
      <c r="H86" s="36"/>
      <c r="I86" s="36"/>
      <c r="K86" s="36"/>
      <c r="L86" s="80"/>
      <c r="M86" s="84"/>
      <c r="N86" s="84"/>
      <c r="O86" s="84"/>
      <c r="P86" s="84"/>
      <c r="Q86" s="36"/>
      <c r="R86" s="36"/>
    </row>
    <row r="87" spans="2:18" s="40" customFormat="1" x14ac:dyDescent="0.2">
      <c r="B87" s="36"/>
      <c r="C87" s="80"/>
      <c r="D87" s="84"/>
      <c r="E87" s="84"/>
      <c r="F87" s="84"/>
      <c r="G87" s="84"/>
      <c r="H87" s="36"/>
      <c r="I87" s="36"/>
      <c r="K87" s="36"/>
      <c r="L87" s="80"/>
      <c r="M87" s="84"/>
      <c r="N87" s="84"/>
      <c r="O87" s="84"/>
      <c r="P87" s="84"/>
      <c r="Q87" s="36"/>
      <c r="R87" s="36"/>
    </row>
    <row r="88" spans="2:18" s="40" customFormat="1" x14ac:dyDescent="0.2">
      <c r="B88" s="36"/>
      <c r="C88" s="80"/>
      <c r="D88" s="84"/>
      <c r="E88" s="84"/>
      <c r="F88" s="84"/>
      <c r="G88" s="84"/>
      <c r="H88" s="36"/>
      <c r="I88" s="36"/>
      <c r="K88" s="36"/>
      <c r="L88" s="80"/>
      <c r="M88" s="84"/>
      <c r="N88" s="84"/>
      <c r="O88" s="84"/>
      <c r="P88" s="84"/>
      <c r="Q88" s="36"/>
      <c r="R88" s="36"/>
    </row>
    <row r="89" spans="2:18" s="40" customFormat="1" x14ac:dyDescent="0.2">
      <c r="B89" s="36"/>
      <c r="C89" s="80"/>
      <c r="D89" s="84"/>
      <c r="E89" s="84"/>
      <c r="F89" s="84"/>
      <c r="G89" s="84"/>
      <c r="H89" s="36"/>
      <c r="I89" s="36"/>
      <c r="K89" s="36"/>
      <c r="L89" s="80"/>
      <c r="M89" s="84"/>
      <c r="N89" s="84"/>
      <c r="O89" s="84"/>
      <c r="P89" s="84"/>
      <c r="Q89" s="36"/>
      <c r="R89" s="36"/>
    </row>
    <row r="90" spans="2:18" s="40" customFormat="1" x14ac:dyDescent="0.2">
      <c r="B90" s="36"/>
      <c r="C90" s="80"/>
      <c r="D90" s="84"/>
      <c r="E90" s="84"/>
      <c r="F90" s="84"/>
      <c r="G90" s="84"/>
      <c r="H90" s="36"/>
      <c r="I90" s="36"/>
      <c r="K90" s="36"/>
      <c r="L90" s="80"/>
      <c r="M90" s="84"/>
      <c r="N90" s="84"/>
      <c r="O90" s="84"/>
      <c r="P90" s="84"/>
      <c r="Q90" s="36"/>
      <c r="R90" s="36"/>
    </row>
    <row r="91" spans="2:18" s="40" customFormat="1" ht="13.5" customHeight="1" x14ac:dyDescent="0.2">
      <c r="B91" s="36"/>
      <c r="C91" s="80"/>
      <c r="D91" s="84"/>
      <c r="E91" s="84"/>
      <c r="F91" s="84"/>
      <c r="G91" s="84"/>
      <c r="H91" s="36"/>
      <c r="I91" s="36"/>
      <c r="K91" s="36"/>
      <c r="L91" s="80"/>
      <c r="M91" s="84"/>
      <c r="N91" s="84"/>
      <c r="O91" s="84"/>
      <c r="P91" s="84"/>
      <c r="Q91" s="36"/>
      <c r="R91" s="36"/>
    </row>
    <row r="92" spans="2:18" s="40" customFormat="1" ht="13.5" customHeight="1" x14ac:dyDescent="0.2">
      <c r="B92" s="36"/>
      <c r="C92" s="80"/>
      <c r="D92" s="84"/>
      <c r="E92" s="84"/>
      <c r="F92" s="84"/>
      <c r="G92" s="84"/>
      <c r="H92" s="36"/>
      <c r="I92" s="36"/>
      <c r="K92" s="36"/>
      <c r="L92" s="80"/>
      <c r="M92" s="84"/>
      <c r="N92" s="84"/>
      <c r="O92" s="84"/>
      <c r="P92" s="84"/>
      <c r="Q92" s="36"/>
      <c r="R92" s="36"/>
    </row>
    <row r="93" spans="2:18" s="40" customFormat="1" ht="13.5" customHeight="1" x14ac:dyDescent="0.2">
      <c r="B93" s="36"/>
      <c r="C93" s="80"/>
      <c r="D93" s="84"/>
      <c r="E93" s="84"/>
      <c r="F93" s="84"/>
      <c r="G93" s="84"/>
      <c r="H93" s="36"/>
      <c r="I93" s="36"/>
      <c r="K93" s="36"/>
      <c r="L93" s="80"/>
      <c r="M93" s="84"/>
      <c r="N93" s="84"/>
      <c r="O93" s="84"/>
      <c r="P93" s="84"/>
      <c r="Q93" s="36"/>
      <c r="R93" s="36"/>
    </row>
    <row r="94" spans="2:18" s="40" customFormat="1" ht="13.5" customHeight="1" x14ac:dyDescent="0.2">
      <c r="B94" s="36"/>
      <c r="C94" s="80"/>
      <c r="D94" s="84"/>
      <c r="E94" s="84"/>
      <c r="F94" s="84"/>
      <c r="G94" s="84"/>
      <c r="H94" s="36"/>
      <c r="I94" s="36"/>
      <c r="K94" s="36"/>
      <c r="L94" s="80"/>
      <c r="M94" s="84"/>
      <c r="N94" s="84"/>
      <c r="O94" s="84"/>
      <c r="P94" s="84"/>
      <c r="Q94" s="36"/>
      <c r="R94" s="36"/>
    </row>
    <row r="95" spans="2:18" s="40" customFormat="1" ht="13.5" customHeight="1" x14ac:dyDescent="0.2">
      <c r="B95" s="36"/>
      <c r="C95" s="80"/>
      <c r="D95" s="84"/>
      <c r="E95" s="84"/>
      <c r="F95" s="84"/>
      <c r="G95" s="84"/>
      <c r="H95" s="36"/>
      <c r="I95" s="36"/>
      <c r="K95" s="36"/>
      <c r="L95" s="80"/>
      <c r="M95" s="84"/>
      <c r="N95" s="84"/>
      <c r="O95" s="84"/>
      <c r="P95" s="84"/>
      <c r="Q95" s="36"/>
      <c r="R95" s="36"/>
    </row>
    <row r="96" spans="2:18" s="40" customFormat="1" ht="13.5" customHeight="1" x14ac:dyDescent="0.2">
      <c r="B96" s="36"/>
      <c r="C96" s="80"/>
      <c r="D96" s="84"/>
      <c r="E96" s="84"/>
      <c r="F96" s="84"/>
      <c r="G96" s="84"/>
      <c r="H96" s="36"/>
      <c r="I96" s="36"/>
      <c r="K96" s="36"/>
      <c r="L96" s="80"/>
      <c r="M96" s="84"/>
      <c r="N96" s="84"/>
      <c r="O96" s="84"/>
      <c r="P96" s="84"/>
      <c r="Q96" s="36"/>
      <c r="R96" s="36"/>
    </row>
    <row r="97" spans="2:18" s="40" customFormat="1" ht="13.5" customHeight="1" x14ac:dyDescent="0.2">
      <c r="B97" s="36"/>
      <c r="C97" s="80"/>
      <c r="D97" s="84"/>
      <c r="E97" s="84"/>
      <c r="F97" s="84"/>
      <c r="G97" s="84"/>
      <c r="H97" s="36"/>
      <c r="I97" s="36"/>
      <c r="K97" s="36"/>
      <c r="L97" s="80"/>
      <c r="M97" s="84"/>
      <c r="N97" s="84"/>
      <c r="O97" s="84"/>
      <c r="P97" s="84"/>
      <c r="Q97" s="36"/>
      <c r="R97" s="36"/>
    </row>
    <row r="98" spans="2:18" s="40" customFormat="1" ht="13.5" customHeight="1" x14ac:dyDescent="0.2">
      <c r="B98" s="36"/>
      <c r="C98" s="80"/>
      <c r="D98" s="84"/>
      <c r="E98" s="84"/>
      <c r="F98" s="84"/>
      <c r="G98" s="84"/>
      <c r="H98" s="36"/>
      <c r="I98" s="36"/>
      <c r="K98" s="36"/>
      <c r="L98" s="80"/>
      <c r="M98" s="84"/>
      <c r="N98" s="84"/>
      <c r="O98" s="84"/>
      <c r="P98" s="84"/>
      <c r="Q98" s="36"/>
      <c r="R98" s="36"/>
    </row>
    <row r="99" spans="2:18" s="40" customFormat="1" ht="13.5" customHeight="1" x14ac:dyDescent="0.2">
      <c r="B99" s="36"/>
      <c r="C99" s="80"/>
      <c r="D99" s="84"/>
      <c r="E99" s="84"/>
      <c r="F99" s="84"/>
      <c r="G99" s="84"/>
      <c r="H99" s="36"/>
      <c r="I99" s="36"/>
      <c r="K99" s="36"/>
      <c r="L99" s="80"/>
      <c r="M99" s="84"/>
      <c r="N99" s="84"/>
      <c r="O99" s="84"/>
      <c r="P99" s="84"/>
      <c r="Q99" s="36"/>
      <c r="R99" s="36"/>
    </row>
    <row r="100" spans="2:18" s="40" customFormat="1" ht="13.5" customHeight="1" x14ac:dyDescent="0.2">
      <c r="B100" s="36"/>
      <c r="C100" s="80"/>
      <c r="D100" s="84"/>
      <c r="E100" s="84"/>
      <c r="F100" s="84"/>
      <c r="G100" s="84"/>
      <c r="H100" s="36"/>
      <c r="I100" s="36"/>
      <c r="K100" s="36"/>
      <c r="L100" s="80"/>
      <c r="M100" s="84"/>
      <c r="N100" s="84"/>
      <c r="O100" s="84"/>
      <c r="P100" s="84"/>
      <c r="Q100" s="36"/>
      <c r="R100" s="36"/>
    </row>
    <row r="101" spans="2:18" s="40" customFormat="1" ht="13.5" customHeight="1" x14ac:dyDescent="0.2">
      <c r="B101" s="36"/>
      <c r="C101" s="80"/>
      <c r="D101" s="84"/>
      <c r="E101" s="84"/>
      <c r="F101" s="84"/>
      <c r="G101" s="84"/>
      <c r="H101" s="36"/>
      <c r="I101" s="36"/>
      <c r="K101" s="36"/>
      <c r="L101" s="80"/>
      <c r="M101" s="84"/>
      <c r="N101" s="84"/>
      <c r="O101" s="84"/>
      <c r="P101" s="84"/>
      <c r="Q101" s="36"/>
      <c r="R101" s="36"/>
    </row>
    <row r="102" spans="2:18" s="40" customFormat="1" ht="13.5" customHeight="1" x14ac:dyDescent="0.2">
      <c r="B102" s="36"/>
      <c r="C102" s="80"/>
      <c r="D102" s="84"/>
      <c r="E102" s="84"/>
      <c r="F102" s="84"/>
      <c r="G102" s="84"/>
      <c r="H102" s="36"/>
      <c r="I102" s="36"/>
      <c r="K102" s="36"/>
      <c r="L102" s="80"/>
      <c r="M102" s="84"/>
      <c r="N102" s="84"/>
      <c r="O102" s="84"/>
      <c r="P102" s="84"/>
      <c r="Q102" s="36"/>
      <c r="R102" s="36"/>
    </row>
    <row r="103" spans="2:18" s="40" customFormat="1" ht="13.5" customHeight="1" x14ac:dyDescent="0.2">
      <c r="B103" s="36"/>
      <c r="C103" s="80"/>
      <c r="D103" s="84"/>
      <c r="E103" s="84"/>
      <c r="F103" s="84"/>
      <c r="G103" s="84"/>
      <c r="H103" s="36"/>
      <c r="I103" s="36"/>
      <c r="K103" s="36"/>
      <c r="L103" s="80"/>
      <c r="M103" s="84"/>
      <c r="N103" s="84"/>
      <c r="O103" s="84"/>
      <c r="P103" s="84"/>
      <c r="Q103" s="36"/>
      <c r="R103" s="36"/>
    </row>
    <row r="104" spans="2:18" s="40" customFormat="1" x14ac:dyDescent="0.2">
      <c r="B104" s="36"/>
      <c r="C104" s="80"/>
      <c r="D104" s="84"/>
      <c r="E104" s="84"/>
      <c r="F104" s="84"/>
      <c r="G104" s="84"/>
      <c r="H104" s="36"/>
      <c r="I104" s="36"/>
      <c r="K104" s="36"/>
      <c r="L104" s="80"/>
      <c r="M104" s="84"/>
      <c r="N104" s="84"/>
      <c r="O104" s="84"/>
      <c r="P104" s="84"/>
      <c r="Q104" s="36"/>
      <c r="R104" s="36"/>
    </row>
    <row r="105" spans="2:18" s="40" customFormat="1" x14ac:dyDescent="0.2">
      <c r="B105" s="36"/>
      <c r="C105" s="80"/>
      <c r="D105" s="84"/>
      <c r="E105" s="84"/>
      <c r="F105" s="84"/>
      <c r="G105" s="84"/>
      <c r="H105" s="36"/>
      <c r="I105" s="36"/>
      <c r="K105" s="36"/>
      <c r="L105" s="80"/>
      <c r="M105" s="84"/>
      <c r="N105" s="84"/>
      <c r="O105" s="84"/>
      <c r="P105" s="84"/>
      <c r="Q105" s="36"/>
      <c r="R105" s="36"/>
    </row>
    <row r="106" spans="2:18" s="40" customFormat="1" x14ac:dyDescent="0.2">
      <c r="B106" s="36"/>
      <c r="C106" s="80"/>
      <c r="D106" s="84"/>
      <c r="E106" s="84"/>
      <c r="F106" s="84"/>
      <c r="G106" s="84"/>
      <c r="H106" s="36"/>
      <c r="I106" s="36"/>
      <c r="K106" s="36"/>
      <c r="L106" s="80"/>
      <c r="M106" s="84"/>
      <c r="N106" s="84"/>
      <c r="O106" s="84"/>
      <c r="P106" s="84"/>
      <c r="Q106" s="36"/>
      <c r="R106" s="36"/>
    </row>
    <row r="107" spans="2:18" s="40" customFormat="1" x14ac:dyDescent="0.2">
      <c r="B107" s="36"/>
      <c r="C107" s="80"/>
      <c r="D107" s="84"/>
      <c r="E107" s="84"/>
      <c r="F107" s="84"/>
      <c r="G107" s="84"/>
      <c r="H107" s="36"/>
      <c r="I107" s="36"/>
      <c r="K107" s="36"/>
      <c r="L107" s="80"/>
      <c r="M107" s="84"/>
      <c r="N107" s="84"/>
      <c r="O107" s="84"/>
      <c r="P107" s="84"/>
      <c r="Q107" s="36"/>
      <c r="R107" s="36"/>
    </row>
    <row r="108" spans="2:18" s="40" customFormat="1" ht="14.25" customHeight="1" x14ac:dyDescent="0.2">
      <c r="B108" s="36"/>
      <c r="C108" s="80"/>
      <c r="D108" s="84"/>
      <c r="E108" s="84"/>
      <c r="F108" s="84"/>
      <c r="G108" s="84"/>
      <c r="H108" s="36"/>
      <c r="I108" s="36"/>
      <c r="K108" s="36"/>
      <c r="L108" s="80"/>
      <c r="M108" s="84"/>
      <c r="N108" s="84"/>
      <c r="O108" s="84"/>
      <c r="P108" s="84"/>
      <c r="Q108" s="36"/>
      <c r="R108" s="36"/>
    </row>
    <row r="109" spans="2:18" s="40" customFormat="1" x14ac:dyDescent="0.2">
      <c r="B109" s="36"/>
      <c r="C109" s="80"/>
      <c r="D109" s="84"/>
      <c r="E109" s="84"/>
      <c r="F109" s="84"/>
      <c r="G109" s="84"/>
      <c r="H109" s="36"/>
      <c r="I109" s="36"/>
      <c r="K109" s="36"/>
      <c r="L109" s="80"/>
      <c r="M109" s="84"/>
      <c r="N109" s="84"/>
      <c r="O109" s="84"/>
      <c r="P109" s="84"/>
      <c r="Q109" s="36"/>
      <c r="R109" s="36"/>
    </row>
    <row r="110" spans="2:18" s="40" customFormat="1" x14ac:dyDescent="0.2">
      <c r="B110" s="36"/>
      <c r="C110" s="80"/>
      <c r="D110" s="84"/>
      <c r="E110" s="84"/>
      <c r="F110" s="84"/>
      <c r="G110" s="84"/>
      <c r="H110" s="36"/>
      <c r="I110" s="36"/>
      <c r="K110" s="36"/>
      <c r="L110" s="80"/>
      <c r="M110" s="84"/>
      <c r="N110" s="84"/>
      <c r="O110" s="84"/>
      <c r="P110" s="84"/>
      <c r="Q110" s="36"/>
      <c r="R110" s="36"/>
    </row>
    <row r="111" spans="2:18" s="40" customFormat="1" x14ac:dyDescent="0.2">
      <c r="B111" s="36"/>
      <c r="C111" s="80"/>
      <c r="D111" s="84"/>
      <c r="E111" s="84"/>
      <c r="F111" s="84"/>
      <c r="G111" s="84"/>
      <c r="H111" s="36"/>
      <c r="I111" s="36"/>
      <c r="K111" s="36"/>
      <c r="L111" s="80"/>
      <c r="M111" s="84"/>
      <c r="N111" s="84"/>
      <c r="O111" s="84"/>
      <c r="P111" s="84"/>
      <c r="Q111" s="36"/>
      <c r="R111" s="36"/>
    </row>
    <row r="112" spans="2:18" s="40" customFormat="1" x14ac:dyDescent="0.2">
      <c r="B112" s="36"/>
      <c r="C112" s="80"/>
      <c r="D112" s="84"/>
      <c r="E112" s="84"/>
      <c r="F112" s="84"/>
      <c r="G112" s="84"/>
      <c r="H112" s="36"/>
      <c r="I112" s="36"/>
      <c r="K112" s="36"/>
      <c r="L112" s="80"/>
      <c r="M112" s="84"/>
      <c r="N112" s="84"/>
      <c r="O112" s="84"/>
      <c r="P112" s="84"/>
      <c r="Q112" s="36"/>
      <c r="R112" s="36"/>
    </row>
    <row r="113" spans="1:18" s="40" customFormat="1" x14ac:dyDescent="0.2">
      <c r="B113" s="36"/>
      <c r="C113" s="80"/>
      <c r="D113" s="84"/>
      <c r="E113" s="84"/>
      <c r="F113" s="84"/>
      <c r="G113" s="84"/>
      <c r="H113" s="36"/>
      <c r="I113" s="36"/>
      <c r="K113" s="36"/>
      <c r="L113" s="80"/>
      <c r="M113" s="84"/>
      <c r="N113" s="84"/>
      <c r="O113" s="84"/>
      <c r="P113" s="84"/>
      <c r="Q113" s="36"/>
      <c r="R113" s="36"/>
    </row>
    <row r="114" spans="1:18" s="40" customFormat="1" x14ac:dyDescent="0.2">
      <c r="B114" s="36"/>
      <c r="C114" s="80"/>
      <c r="D114" s="84"/>
      <c r="E114" s="84"/>
      <c r="F114" s="84"/>
      <c r="G114" s="84"/>
      <c r="H114" s="36"/>
      <c r="I114" s="36"/>
      <c r="K114" s="36"/>
      <c r="L114" s="80"/>
      <c r="M114" s="84"/>
      <c r="N114" s="84"/>
      <c r="O114" s="84"/>
      <c r="P114" s="84"/>
      <c r="Q114" s="36"/>
      <c r="R114" s="36"/>
    </row>
    <row r="115" spans="1:18" s="40" customFormat="1" ht="16" thickBot="1" x14ac:dyDescent="0.25">
      <c r="B115" s="37"/>
      <c r="C115" s="81"/>
      <c r="D115" s="85"/>
      <c r="E115" s="85"/>
      <c r="F115" s="85"/>
      <c r="G115" s="85"/>
      <c r="H115" s="37"/>
      <c r="I115" s="37"/>
      <c r="K115" s="37"/>
      <c r="L115" s="81"/>
      <c r="M115" s="85"/>
      <c r="N115" s="85"/>
      <c r="O115" s="85"/>
      <c r="P115" s="85"/>
      <c r="Q115" s="37"/>
      <c r="R115" s="37"/>
    </row>
    <row r="117" spans="1:18" ht="15" customHeight="1" x14ac:dyDescent="0.2">
      <c r="B117" s="29"/>
    </row>
    <row r="118" spans="1:18" x14ac:dyDescent="0.2">
      <c r="A118" s="11"/>
      <c r="B118" s="11"/>
      <c r="C118" s="11"/>
      <c r="D118" s="11"/>
      <c r="E118" s="11"/>
      <c r="F118" s="11"/>
    </row>
    <row r="119" spans="1:18" x14ac:dyDescent="0.2">
      <c r="B119" s="11"/>
      <c r="C119" s="11"/>
      <c r="D119" s="11"/>
      <c r="E119" s="11"/>
      <c r="F119" s="11"/>
    </row>
    <row r="120" spans="1:18" x14ac:dyDescent="0.2">
      <c r="I120" s="13"/>
      <c r="J120" s="13"/>
    </row>
    <row r="121" spans="1:18" ht="16" x14ac:dyDescent="0.2">
      <c r="B121" s="29" t="s">
        <v>11</v>
      </c>
      <c r="I121" s="13"/>
      <c r="J121" s="13"/>
    </row>
    <row r="122" spans="1:18" ht="15" customHeight="1" x14ac:dyDescent="0.2">
      <c r="A122" s="3"/>
      <c r="B122" s="168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70"/>
    </row>
    <row r="123" spans="1:18" ht="15" customHeight="1" x14ac:dyDescent="0.2">
      <c r="A123" s="3"/>
      <c r="B123" s="171"/>
      <c r="C123" s="172"/>
      <c r="D123" s="172"/>
      <c r="E123" s="172"/>
      <c r="F123" s="172"/>
      <c r="G123" s="172"/>
      <c r="H123" s="172"/>
      <c r="I123" s="172"/>
      <c r="J123" s="172"/>
      <c r="K123" s="172"/>
      <c r="L123" s="172"/>
      <c r="M123" s="173"/>
    </row>
    <row r="124" spans="1:18" ht="15" customHeight="1" x14ac:dyDescent="0.2">
      <c r="A124" s="3"/>
      <c r="B124" s="171"/>
      <c r="C124" s="172"/>
      <c r="D124" s="172"/>
      <c r="E124" s="172"/>
      <c r="F124" s="172"/>
      <c r="G124" s="172"/>
      <c r="H124" s="172"/>
      <c r="I124" s="172"/>
      <c r="J124" s="172"/>
      <c r="K124" s="172"/>
      <c r="L124" s="172"/>
      <c r="M124" s="173"/>
    </row>
    <row r="125" spans="1:18" ht="15" customHeight="1" x14ac:dyDescent="0.2">
      <c r="A125" s="3"/>
      <c r="B125" s="171"/>
      <c r="C125" s="172"/>
      <c r="D125" s="172"/>
      <c r="E125" s="172"/>
      <c r="F125" s="172"/>
      <c r="G125" s="172"/>
      <c r="H125" s="172"/>
      <c r="I125" s="172"/>
      <c r="J125" s="172"/>
      <c r="K125" s="172"/>
      <c r="L125" s="172"/>
      <c r="M125" s="173"/>
    </row>
    <row r="126" spans="1:18" ht="15" customHeight="1" x14ac:dyDescent="0.2">
      <c r="A126" s="3"/>
      <c r="B126" s="171"/>
      <c r="C126" s="172"/>
      <c r="D126" s="172"/>
      <c r="E126" s="172"/>
      <c r="F126" s="172"/>
      <c r="G126" s="172"/>
      <c r="H126" s="172"/>
      <c r="I126" s="172"/>
      <c r="J126" s="172"/>
      <c r="K126" s="172"/>
      <c r="L126" s="172"/>
      <c r="M126" s="173"/>
    </row>
    <row r="127" spans="1:18" ht="15" customHeight="1" x14ac:dyDescent="0.2">
      <c r="A127" s="3"/>
      <c r="B127" s="171"/>
      <c r="C127" s="172"/>
      <c r="D127" s="172"/>
      <c r="E127" s="172"/>
      <c r="F127" s="172"/>
      <c r="G127" s="172"/>
      <c r="H127" s="172"/>
      <c r="I127" s="172"/>
      <c r="J127" s="172"/>
      <c r="K127" s="172"/>
      <c r="L127" s="172"/>
      <c r="M127" s="173"/>
    </row>
    <row r="128" spans="1:18" ht="15" customHeight="1" x14ac:dyDescent="0.2">
      <c r="A128" s="3"/>
      <c r="B128" s="171"/>
      <c r="C128" s="172"/>
      <c r="D128" s="172"/>
      <c r="E128" s="172"/>
      <c r="F128" s="172"/>
      <c r="G128" s="172"/>
      <c r="H128" s="172"/>
      <c r="I128" s="172"/>
      <c r="J128" s="172"/>
      <c r="K128" s="172"/>
      <c r="L128" s="172"/>
      <c r="M128" s="173"/>
    </row>
    <row r="129" spans="1:13" ht="15" customHeight="1" x14ac:dyDescent="0.2">
      <c r="A129" s="3"/>
      <c r="B129" s="171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3"/>
    </row>
    <row r="130" spans="1:13" ht="15" customHeight="1" x14ac:dyDescent="0.2">
      <c r="A130" s="3"/>
      <c r="B130" s="171"/>
      <c r="C130" s="172"/>
      <c r="D130" s="172"/>
      <c r="E130" s="172"/>
      <c r="F130" s="172"/>
      <c r="G130" s="172"/>
      <c r="H130" s="172"/>
      <c r="I130" s="172"/>
      <c r="J130" s="172"/>
      <c r="K130" s="172"/>
      <c r="L130" s="172"/>
      <c r="M130" s="173"/>
    </row>
    <row r="131" spans="1:13" ht="15" customHeight="1" x14ac:dyDescent="0.2">
      <c r="A131" s="3"/>
      <c r="B131" s="171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3"/>
    </row>
    <row r="132" spans="1:13" ht="15.75" customHeight="1" thickBot="1" x14ac:dyDescent="0.25">
      <c r="A132" s="3"/>
      <c r="B132" s="174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6"/>
    </row>
    <row r="133" spans="1:13" x14ac:dyDescent="0.2">
      <c r="B133" s="43" t="s">
        <v>110</v>
      </c>
    </row>
    <row r="135" spans="1:13" ht="16" x14ac:dyDescent="0.2">
      <c r="B135" s="29" t="s">
        <v>82</v>
      </c>
    </row>
    <row r="139" spans="1:13" x14ac:dyDescent="0.2">
      <c r="B139" s="46" t="s">
        <v>112</v>
      </c>
    </row>
    <row r="140" spans="1:13" x14ac:dyDescent="0.2">
      <c r="B140" s="45"/>
    </row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</sheetData>
  <sheetProtection insertRows="0" selectLockedCells="1"/>
  <mergeCells count="52">
    <mergeCell ref="Q44:R44"/>
    <mergeCell ref="N44:N45"/>
    <mergeCell ref="O44:O45"/>
    <mergeCell ref="H44:I44"/>
    <mergeCell ref="K34:L34"/>
    <mergeCell ref="K36:L36"/>
    <mergeCell ref="P44:P45"/>
    <mergeCell ref="B42:H42"/>
    <mergeCell ref="B122:M132"/>
    <mergeCell ref="F44:F45"/>
    <mergeCell ref="E44:E45"/>
    <mergeCell ref="G44:G45"/>
    <mergeCell ref="K44:K45"/>
    <mergeCell ref="L44:L45"/>
    <mergeCell ref="B44:B45"/>
    <mergeCell ref="C44:C45"/>
    <mergeCell ref="D44:D45"/>
    <mergeCell ref="M44:M45"/>
    <mergeCell ref="B29:C29"/>
    <mergeCell ref="E29:F29"/>
    <mergeCell ref="E36:F36"/>
    <mergeCell ref="H36:I36"/>
    <mergeCell ref="B36:C36"/>
    <mergeCell ref="B34:C34"/>
    <mergeCell ref="E34:F34"/>
    <mergeCell ref="H34:I34"/>
    <mergeCell ref="B31:P31"/>
    <mergeCell ref="B35:C35"/>
    <mergeCell ref="B6:P6"/>
    <mergeCell ref="B27:C27"/>
    <mergeCell ref="E27:F27"/>
    <mergeCell ref="B19:C19"/>
    <mergeCell ref="E21:F21"/>
    <mergeCell ref="H27:I27"/>
    <mergeCell ref="B21:C21"/>
    <mergeCell ref="B16:P16"/>
    <mergeCell ref="B11:C11"/>
    <mergeCell ref="E11:F11"/>
    <mergeCell ref="B9:C9"/>
    <mergeCell ref="E9:F9"/>
    <mergeCell ref="J13:K14"/>
    <mergeCell ref="H18:I18"/>
    <mergeCell ref="E19:F19"/>
    <mergeCell ref="H19:I19"/>
    <mergeCell ref="H21:I21"/>
    <mergeCell ref="H11:I11"/>
    <mergeCell ref="K27:L27"/>
    <mergeCell ref="H9:I9"/>
    <mergeCell ref="B13:C13"/>
    <mergeCell ref="B14:H14"/>
    <mergeCell ref="L13:L14"/>
    <mergeCell ref="B24:E24"/>
  </mergeCells>
  <conditionalFormatting sqref="B26 E26 H26 K26 B28 E28">
    <cfRule type="expression" dxfId="32" priority="42">
      <formula>$L$13="Si"</formula>
    </cfRule>
  </conditionalFormatting>
  <conditionalFormatting sqref="B27:C27 E27:F27 H27:I27 E29:F29 B24:E24 H26">
    <cfRule type="expression" dxfId="31" priority="49">
      <formula>$L$13="Si"</formula>
    </cfRule>
  </conditionalFormatting>
  <conditionalFormatting sqref="B27:C27 E27:F27 H27:I27 E29:F29">
    <cfRule type="expression" dxfId="30" priority="48">
      <formula>$L$13="Si"</formula>
    </cfRule>
  </conditionalFormatting>
  <conditionalFormatting sqref="E26">
    <cfRule type="expression" dxfId="27" priority="43">
      <formula>$L$11="Si"</formula>
    </cfRule>
  </conditionalFormatting>
  <conditionalFormatting sqref="E35:F35">
    <cfRule type="expression" dxfId="26" priority="26">
      <formula>$B$34="Solicitud de Servicio Colectivo"</formula>
    </cfRule>
  </conditionalFormatting>
  <conditionalFormatting sqref="E36:F36">
    <cfRule type="expression" dxfId="25" priority="28">
      <formula>$B$34="Solicitud de Servicio Colectivo"</formula>
    </cfRule>
  </conditionalFormatting>
  <conditionalFormatting sqref="H19:I19">
    <cfRule type="expression" dxfId="24" priority="23">
      <formula>$B$19&lt;&gt;"Otros"</formula>
    </cfRule>
  </conditionalFormatting>
  <conditionalFormatting sqref="K10">
    <cfRule type="expression" dxfId="20" priority="46">
      <formula>$L$11="Si"</formula>
    </cfRule>
  </conditionalFormatting>
  <conditionalFormatting sqref="K12">
    <cfRule type="expression" dxfId="19" priority="47">
      <formula>$L$11="Si"</formula>
    </cfRule>
  </conditionalFormatting>
  <conditionalFormatting sqref="K26">
    <cfRule type="expression" dxfId="18" priority="44">
      <formula>$L$11="Si"</formula>
    </cfRule>
  </conditionalFormatting>
  <conditionalFormatting sqref="K27:L27">
    <cfRule type="expression" dxfId="17" priority="41">
      <formula>$L$13="Si"</formula>
    </cfRule>
    <cfRule type="expression" dxfId="16" priority="45">
      <formula>$L$11="Si"</formula>
    </cfRule>
  </conditionalFormatting>
  <dataValidations count="1">
    <dataValidation type="custom" allowBlank="1" showInputMessage="1" showErrorMessage="1" errorTitle="Formato no permitido" error="Para CI colocar 7 u 8 dígitos._x000a_Para RUT colocar 12 dígitos." sqref="E19" xr:uid="{00000000-0002-0000-0300-000000000000}">
      <formula1>IF(B19="CI",OR((LEN(E19)=7),(LEN(E19)=8)),IF(B19="RUT",LEN(E19)=12,TRUE))</formula1>
    </dataValidation>
  </dataValidations>
  <hyperlinks>
    <hyperlink ref="B42" location="'Colectiva (2)'!A1" display="Si son mas servicios que los que puede ingresar en el siguiente cuadro, entrar aquí." xr:uid="{00000000-0004-0000-0300-000000000000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dvAspect="DVASPECT_ICON" shapeId="1067" r:id="rId4">
          <objectPr defaultSize="0" autoPict="0" r:id="rId5">
            <anchor moveWithCells="1">
              <from>
                <xdr:col>1</xdr:col>
                <xdr:colOff>12700</xdr:colOff>
                <xdr:row>115</xdr:row>
                <xdr:rowOff>139700</xdr:rowOff>
              </from>
              <to>
                <xdr:col>2</xdr:col>
                <xdr:colOff>139700</xdr:colOff>
                <xdr:row>119</xdr:row>
                <xdr:rowOff>152400</xdr:rowOff>
              </to>
            </anchor>
          </objectPr>
        </oleObject>
      </mc:Choice>
      <mc:Fallback>
        <oleObject progId="Paint.Picture" dvAspect="DVASPECT_ICON" shapeId="1067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A2B38D9F-6AB8-4B93-B37B-78BEA401DBF2}">
            <xm:f>check!$L$5=TRUE</xm:f>
            <x14:dxf>
              <numFmt numFmtId="168" formatCode="0&quot;.&quot;###&quot;.&quot;###&quot;-&quot;0"/>
            </x14:dxf>
          </x14:cfRule>
          <x14:cfRule type="expression" priority="25" id="{14155F83-297F-4E99-B13B-9613C5C2C856}">
            <xm:f>check!$K$5=TRUE</xm:f>
            <x14:dxf>
              <numFmt numFmtId="167" formatCode="###&quot;.&quot;###&quot;-&quot;0"/>
            </x14:dxf>
          </x14:cfRule>
          <xm:sqref>E19</xm:sqref>
        </x14:conditionalFormatting>
        <x14:conditionalFormatting xmlns:xm="http://schemas.microsoft.com/office/excel/2006/main">
          <x14:cfRule type="expression" priority="95" id="{585370CA-9554-4CD3-B131-0E8014082E80}">
            <xm:f>check!G61=FALSE</xm:f>
            <x14:dxf>
              <numFmt numFmtId="165" formatCode="General\ \K\W"/>
            </x14:dxf>
          </x14:cfRule>
          <x14:cfRule type="expression" priority="96" id="{F5B4E053-9F6A-45E5-8E4B-0C01DBCA1B30}">
            <xm:f>check!G61=TRUE</xm:f>
            <x14:dxf>
              <numFmt numFmtId="169" formatCode="0\ \K\W"/>
            </x14:dxf>
          </x14:cfRule>
          <xm:sqref>H46:I115</xm:sqref>
        </x14:conditionalFormatting>
        <x14:conditionalFormatting xmlns:xm="http://schemas.microsoft.com/office/excel/2006/main">
          <x14:cfRule type="expression" priority="91" id="{1B3F8C65-7F7E-4D2C-9E94-FD009C3DE538}">
            <xm:f>check!H61=FALSE</xm:f>
            <x14:dxf>
              <font>
                <color theme="0" tint="-0.34998626667073579"/>
              </font>
              <numFmt numFmtId="2" formatCode="0.00"/>
              <fill>
                <patternFill>
                  <bgColor theme="0" tint="-0.34998626667073579"/>
                </patternFill>
              </fill>
            </x14:dxf>
          </x14:cfRule>
          <xm:sqref>I46:I115</xm:sqref>
        </x14:conditionalFormatting>
        <x14:conditionalFormatting xmlns:xm="http://schemas.microsoft.com/office/excel/2006/main">
          <x14:cfRule type="expression" priority="1" id="{D5A97A54-2BA0-4DFB-BD0A-338A38CF9F1A}">
            <xm:f>check!P61=FALSE</xm:f>
            <x14:dxf>
              <numFmt numFmtId="165" formatCode="General\ \K\W"/>
            </x14:dxf>
          </x14:cfRule>
          <x14:cfRule type="expression" priority="2" id="{A6C75F67-35FF-4838-80AA-8BBAC37585A1}">
            <xm:f>check!P61=TRUE</xm:f>
            <x14:dxf>
              <numFmt numFmtId="169" formatCode="0\ \K\W"/>
            </x14:dxf>
          </x14:cfRule>
          <xm:sqref>Q46:Q115</xm:sqref>
        </x14:conditionalFormatting>
        <x14:conditionalFormatting xmlns:xm="http://schemas.microsoft.com/office/excel/2006/main">
          <x14:cfRule type="expression" priority="92" id="{87C5CE98-02CC-451C-BBE0-A6E72E812061}">
            <xm:f>check!$G$61=FALSE</xm:f>
            <x14:dxf>
              <numFmt numFmtId="165" formatCode="General\ \K\W"/>
            </x14:dxf>
          </x14:cfRule>
          <x14:cfRule type="expression" priority="93" id="{712FEF1D-2F8B-40BC-83CA-1E3F729CB142}">
            <xm:f>check!$G$61=TRUE</xm:f>
            <x14:dxf>
              <numFmt numFmtId="169" formatCode="0\ \K\W"/>
            </x14:dxf>
          </x14:cfRule>
          <x14:cfRule type="expression" priority="94" id="{1B3F8C65-7F7E-4D2C-9E94-FD009C3DE538}">
            <xm:f>check!Q61=FALSE</xm:f>
            <x14:dxf>
              <font>
                <color theme="0" tint="-0.34998626667073579"/>
              </font>
              <numFmt numFmtId="2" formatCode="0.00"/>
              <fill>
                <patternFill>
                  <bgColor theme="0" tint="-0.34998626667073579"/>
                </patternFill>
              </fill>
            </x14:dxf>
          </x14:cfRule>
          <xm:sqref>R46:R115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errorTitle="Lista" error="Seleccionar de la lista desplegable" xr:uid="{00000000-0002-0000-0300-000001000000}">
          <x14:formula1>
            <xm:f>check!$B$16:$B$18</xm:f>
          </x14:formula1>
          <xm:sqref>E34:F34</xm:sqref>
        </x14:dataValidation>
        <x14:dataValidation type="list" allowBlank="1" showInputMessage="1" showErrorMessage="1" errorTitle="Lista" error="Seleccionar de la lista desplegable" xr:uid="{00000000-0002-0000-0300-000002000000}">
          <x14:formula1>
            <xm:f>check!$B$22:$B$23</xm:f>
          </x14:formula1>
          <xm:sqref>H34:I34</xm:sqref>
        </x14:dataValidation>
        <x14:dataValidation type="list" allowBlank="1" showInputMessage="1" showErrorMessage="1" errorTitle="Lista" error="Seleccionar de la lista desplegable" xr:uid="{00000000-0002-0000-0300-000003000000}">
          <x14:formula1>
            <xm:f>check!$B$27:$B$29</xm:f>
          </x14:formula1>
          <xm:sqref>E36:F36</xm:sqref>
        </x14:dataValidation>
        <x14:dataValidation type="list" allowBlank="1" showInputMessage="1" showErrorMessage="1" errorTitle="Lista" error="Seleccionar de la lista desplegable" xr:uid="{00000000-0002-0000-0300-000004000000}">
          <x14:formula1>
            <xm:f>check!$B$6:$B$8</xm:f>
          </x14:formula1>
          <xm:sqref>B34:C34</xm:sqref>
        </x14:dataValidation>
        <x14:dataValidation type="list" allowBlank="1" showInputMessage="1" showErrorMessage="1" xr:uid="{00000000-0002-0000-0300-000005000000}">
          <x14:formula1>
            <xm:f>check!$D$23:$D$29</xm:f>
          </x14:formula1>
          <xm:sqref>O46:O115 F46:F115</xm:sqref>
        </x14:dataValidation>
        <x14:dataValidation type="list" allowBlank="1" showInputMessage="1" showErrorMessage="1" errorTitle="Lista" error="Seleccionar de la lista desplegable" xr:uid="{00000000-0002-0000-0300-000006000000}">
          <x14:formula1>
            <xm:f>check!$B$33:$B$34</xm:f>
          </x14:formula1>
          <xm:sqref>K36:L36</xm:sqref>
        </x14:dataValidation>
        <x14:dataValidation type="list" allowBlank="1" showInputMessage="1" showErrorMessage="1" xr:uid="{00000000-0002-0000-0300-000007000000}">
          <x14:formula1>
            <xm:f>check!$D$12:$D$19</xm:f>
          </x14:formula1>
          <xm:sqref>E46:E115 N46:N115</xm:sqref>
        </x14:dataValidation>
        <x14:dataValidation type="list" allowBlank="1" showInputMessage="1" showErrorMessage="1" xr:uid="{00000000-0002-0000-0300-000008000000}">
          <x14:formula1>
            <xm:f>check!$F$18:$F$19</xm:f>
          </x14:formula1>
          <xm:sqref>G46:G115 P46:P115</xm:sqref>
        </x14:dataValidation>
        <x14:dataValidation type="list" allowBlank="1" showInputMessage="1" showErrorMessage="1" xr:uid="{00000000-0002-0000-0300-000009000000}">
          <x14:formula1>
            <xm:f>check!$D$32:$D$33</xm:f>
          </x14:formula1>
          <xm:sqref>D46:D115 M46:M115</xm:sqref>
        </x14:dataValidation>
        <x14:dataValidation type="custom" allowBlank="1" showInputMessage="1" showErrorMessage="1" errorTitle="Doble Contratación de Potencia" error="El valor debe ser menor al de la Potencia Máxima" xr:uid="{00000000-0002-0000-0300-00000A000000}">
          <x14:formula1>
            <xm:f>check!L61=TRUE</xm:f>
          </x14:formula1>
          <xm:sqref>I46:I115 R46:R115</xm:sqref>
        </x14:dataValidation>
        <x14:dataValidation type="list" allowBlank="1" showInputMessage="1" showErrorMessage="1" errorTitle="Lista" error="Seleccionar de la lista desplegable" xr:uid="{00000000-0002-0000-0300-00000B000000}">
          <x14:formula1>
            <xm:f>check!$B$38:$B$56</xm:f>
          </x14:formula1>
          <xm:sqref>B9:C9 B29:C29</xm:sqref>
        </x14:dataValidation>
        <x14:dataValidation type="list" allowBlank="1" showInputMessage="1" showErrorMessage="1" errorTitle="Lista" error="Seleccionar de la lista desplegable" xr:uid="{00000000-0002-0000-0300-00000C000000}">
          <x14:formula1>
            <xm:f>check!$B$16:$B$17</xm:f>
          </x14:formula1>
          <xm:sqref>L13:L14</xm:sqref>
        </x14:dataValidation>
        <x14:dataValidation type="list" allowBlank="1" showInputMessage="1" showErrorMessage="1" errorTitle="Lista" error="Seleccionar de la lista desplegable" xr:uid="{00000000-0002-0000-0300-00000D000000}">
          <x14:formula1>
            <xm:f>check!$D$6:$D$8</xm:f>
          </x14:formula1>
          <xm:sqref>B19:C19</xm:sqref>
        </x14:dataValidation>
        <x14:dataValidation type="list" allowBlank="1" showInputMessage="1" showErrorMessage="1" errorTitle="Lista" error="Seleccionar de la lista desplegable" xr:uid="{00000000-0002-0000-0300-00000E000000}">
          <x14:formula1>
            <xm:f>check!$D$23:$D$29</xm:f>
          </x14:formula1>
          <xm:sqref>K34:L34</xm:sqref>
        </x14:dataValidation>
        <x14:dataValidation type="custom" allowBlank="1" showInputMessage="1" showErrorMessage="1" errorTitle="Error al ingresar Potencia" error="Verificar que sea una potencia normalizada._x000a__x000a_Link a potencias admisibles al pie de ese cuadro." xr:uid="{00000000-0002-0000-0300-00000F000000}">
          <x14:formula1>
            <xm:f>check!F61=TRUE</xm:f>
          </x14:formula1>
          <xm:sqref>H46:H115 Q46:Q115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69"/>
  <sheetViews>
    <sheetView showGridLines="0" zoomScaleNormal="100" workbookViewId="0"/>
  </sheetViews>
  <sheetFormatPr baseColWidth="10" defaultColWidth="11.5" defaultRowHeight="15" x14ac:dyDescent="0.2"/>
  <cols>
    <col min="1" max="1" width="3.5" customWidth="1"/>
    <col min="2" max="2" width="13.5" customWidth="1"/>
    <col min="3" max="3" width="17.33203125" customWidth="1"/>
    <col min="4" max="4" width="12.33203125" customWidth="1"/>
    <col min="5" max="5" width="23.1640625" customWidth="1"/>
    <col min="6" max="6" width="11.5" customWidth="1"/>
    <col min="7" max="7" width="12.1640625" customWidth="1"/>
    <col min="8" max="8" width="12" customWidth="1"/>
    <col min="9" max="9" width="13.5" customWidth="1"/>
    <col min="10" max="10" width="14.1640625" customWidth="1"/>
    <col min="11" max="11" width="9.33203125" customWidth="1"/>
    <col min="12" max="12" width="14.5" customWidth="1"/>
    <col min="13" max="13" width="14.6640625" customWidth="1"/>
    <col min="14" max="14" width="27" customWidth="1"/>
    <col min="15" max="15" width="23.1640625" customWidth="1"/>
    <col min="16" max="16" width="11.5" customWidth="1"/>
    <col min="17" max="17" width="12.5" customWidth="1"/>
    <col min="18" max="19" width="14.33203125" customWidth="1"/>
    <col min="16375" max="16384" width="0.83203125" customWidth="1"/>
  </cols>
  <sheetData>
    <row r="1" spans="2:18" ht="14.25" customHeight="1" x14ac:dyDescent="0.2"/>
    <row r="2" spans="2:18" ht="14.25" customHeight="1" x14ac:dyDescent="0.2"/>
    <row r="3" spans="2:18" ht="14.25" customHeight="1" x14ac:dyDescent="0.2"/>
    <row r="4" spans="2:18" ht="14.25" customHeight="1" x14ac:dyDescent="0.2"/>
    <row r="5" spans="2:18" ht="26.25" customHeight="1" x14ac:dyDescent="0.2"/>
    <row r="6" spans="2:18" ht="26.25" customHeight="1" x14ac:dyDescent="0.2">
      <c r="B6" s="140" t="s">
        <v>31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</row>
    <row r="7" spans="2:18" ht="15.75" customHeight="1" x14ac:dyDescent="0.2"/>
    <row r="9" spans="2:18" ht="19" x14ac:dyDescent="0.25">
      <c r="B9" s="87" t="s">
        <v>185</v>
      </c>
      <c r="C9" s="45"/>
      <c r="D9" s="45"/>
      <c r="K9" s="87" t="s">
        <v>186</v>
      </c>
      <c r="M9" s="33"/>
      <c r="N9" s="33"/>
      <c r="O9" s="33"/>
      <c r="P9" s="33"/>
      <c r="Q9" s="33"/>
      <c r="R9" s="33"/>
    </row>
    <row r="11" spans="2:18" ht="30" customHeight="1" x14ac:dyDescent="0.2">
      <c r="B11" s="181" t="s">
        <v>47</v>
      </c>
      <c r="C11" s="183" t="s">
        <v>27</v>
      </c>
      <c r="D11" s="185" t="s">
        <v>40</v>
      </c>
      <c r="E11" s="177" t="s">
        <v>23</v>
      </c>
      <c r="F11" s="177" t="s">
        <v>50</v>
      </c>
      <c r="G11" s="179" t="s">
        <v>52</v>
      </c>
      <c r="H11" s="187" t="s">
        <v>26</v>
      </c>
      <c r="I11" s="188"/>
      <c r="J11" s="13"/>
      <c r="K11" s="181" t="s">
        <v>47</v>
      </c>
      <c r="L11" s="183" t="s">
        <v>27</v>
      </c>
      <c r="M11" s="185" t="s">
        <v>40</v>
      </c>
      <c r="N11" s="177" t="s">
        <v>23</v>
      </c>
      <c r="O11" s="177" t="s">
        <v>50</v>
      </c>
      <c r="P11" s="179" t="s">
        <v>52</v>
      </c>
      <c r="Q11" s="187" t="s">
        <v>26</v>
      </c>
      <c r="R11" s="188"/>
    </row>
    <row r="12" spans="2:18" ht="35" thickBot="1" x14ac:dyDescent="0.25">
      <c r="B12" s="182"/>
      <c r="C12" s="184"/>
      <c r="D12" s="186"/>
      <c r="E12" s="178"/>
      <c r="F12" s="178"/>
      <c r="G12" s="180"/>
      <c r="H12" s="82" t="s">
        <v>182</v>
      </c>
      <c r="I12" s="34" t="s">
        <v>181</v>
      </c>
      <c r="J12" s="13"/>
      <c r="K12" s="182"/>
      <c r="L12" s="184"/>
      <c r="M12" s="186"/>
      <c r="N12" s="178"/>
      <c r="O12" s="178"/>
      <c r="P12" s="180"/>
      <c r="Q12" s="82" t="s">
        <v>182</v>
      </c>
      <c r="R12" s="34" t="s">
        <v>181</v>
      </c>
    </row>
    <row r="13" spans="2:18" s="40" customFormat="1" x14ac:dyDescent="0.2">
      <c r="B13" s="35"/>
      <c r="C13" s="79"/>
      <c r="D13" s="83"/>
      <c r="E13" s="83"/>
      <c r="F13" s="83"/>
      <c r="G13" s="83"/>
      <c r="H13" s="35"/>
      <c r="I13" s="35"/>
      <c r="K13" s="35"/>
      <c r="L13" s="79"/>
      <c r="M13" s="83"/>
      <c r="N13" s="83"/>
      <c r="O13" s="83"/>
      <c r="P13" s="83"/>
      <c r="Q13" s="35"/>
      <c r="R13" s="35"/>
    </row>
    <row r="14" spans="2:18" s="40" customFormat="1" x14ac:dyDescent="0.2">
      <c r="B14" s="36"/>
      <c r="C14" s="80"/>
      <c r="D14" s="84"/>
      <c r="E14" s="84"/>
      <c r="F14" s="84"/>
      <c r="G14" s="84"/>
      <c r="H14" s="36"/>
      <c r="I14" s="36"/>
      <c r="K14" s="36"/>
      <c r="L14" s="80"/>
      <c r="M14" s="84"/>
      <c r="N14" s="84"/>
      <c r="O14" s="84"/>
      <c r="P14" s="84"/>
      <c r="Q14" s="36"/>
      <c r="R14" s="36"/>
    </row>
    <row r="15" spans="2:18" s="40" customFormat="1" x14ac:dyDescent="0.2">
      <c r="B15" s="36"/>
      <c r="C15" s="80"/>
      <c r="D15" s="84"/>
      <c r="E15" s="84"/>
      <c r="F15" s="84"/>
      <c r="G15" s="84"/>
      <c r="H15" s="36"/>
      <c r="I15" s="36"/>
      <c r="K15" s="36"/>
      <c r="L15" s="80"/>
      <c r="M15" s="84"/>
      <c r="N15" s="84"/>
      <c r="O15" s="84"/>
      <c r="P15" s="84"/>
      <c r="Q15" s="36"/>
      <c r="R15" s="36"/>
    </row>
    <row r="16" spans="2:18" s="40" customFormat="1" x14ac:dyDescent="0.2">
      <c r="B16" s="36"/>
      <c r="C16" s="80"/>
      <c r="D16" s="84"/>
      <c r="E16" s="84"/>
      <c r="F16" s="84"/>
      <c r="G16" s="84"/>
      <c r="H16" s="36"/>
      <c r="I16" s="36"/>
      <c r="K16" s="36"/>
      <c r="L16" s="80"/>
      <c r="M16" s="84"/>
      <c r="N16" s="84"/>
      <c r="O16" s="84"/>
      <c r="P16" s="84"/>
      <c r="Q16" s="36"/>
      <c r="R16" s="36"/>
    </row>
    <row r="17" spans="2:18" s="40" customFormat="1" x14ac:dyDescent="0.2">
      <c r="B17" s="36"/>
      <c r="C17" s="80"/>
      <c r="D17" s="84"/>
      <c r="E17" s="84"/>
      <c r="F17" s="84"/>
      <c r="G17" s="84"/>
      <c r="H17" s="36"/>
      <c r="I17" s="36"/>
      <c r="K17" s="36"/>
      <c r="L17" s="80"/>
      <c r="M17" s="84"/>
      <c r="N17" s="84"/>
      <c r="O17" s="84"/>
      <c r="P17" s="84"/>
      <c r="Q17" s="36"/>
      <c r="R17" s="36"/>
    </row>
    <row r="18" spans="2:18" s="40" customFormat="1" x14ac:dyDescent="0.2">
      <c r="B18" s="36"/>
      <c r="C18" s="80"/>
      <c r="D18" s="84"/>
      <c r="E18" s="84"/>
      <c r="F18" s="84"/>
      <c r="G18" s="84"/>
      <c r="H18" s="36"/>
      <c r="I18" s="36"/>
      <c r="K18" s="36"/>
      <c r="L18" s="80"/>
      <c r="M18" s="84"/>
      <c r="N18" s="84"/>
      <c r="O18" s="84"/>
      <c r="P18" s="84"/>
      <c r="Q18" s="36"/>
      <c r="R18" s="36"/>
    </row>
    <row r="19" spans="2:18" s="40" customFormat="1" x14ac:dyDescent="0.2">
      <c r="B19" s="36"/>
      <c r="C19" s="80"/>
      <c r="D19" s="84"/>
      <c r="E19" s="84"/>
      <c r="F19" s="84"/>
      <c r="G19" s="84"/>
      <c r="H19" s="36"/>
      <c r="I19" s="36"/>
      <c r="K19" s="36"/>
      <c r="L19" s="80"/>
      <c r="M19" s="84"/>
      <c r="N19" s="84"/>
      <c r="O19" s="84"/>
      <c r="P19" s="84"/>
      <c r="Q19" s="36"/>
      <c r="R19" s="36"/>
    </row>
    <row r="20" spans="2:18" s="40" customFormat="1" x14ac:dyDescent="0.2">
      <c r="B20" s="36"/>
      <c r="C20" s="80"/>
      <c r="D20" s="84"/>
      <c r="E20" s="84"/>
      <c r="F20" s="84"/>
      <c r="G20" s="84"/>
      <c r="H20" s="36"/>
      <c r="I20" s="36"/>
      <c r="K20" s="36"/>
      <c r="L20" s="80"/>
      <c r="M20" s="84"/>
      <c r="N20" s="84"/>
      <c r="O20" s="84"/>
      <c r="P20" s="84"/>
      <c r="Q20" s="36"/>
      <c r="R20" s="36"/>
    </row>
    <row r="21" spans="2:18" s="40" customFormat="1" x14ac:dyDescent="0.2">
      <c r="B21" s="36"/>
      <c r="C21" s="80"/>
      <c r="D21" s="84"/>
      <c r="E21" s="84"/>
      <c r="F21" s="84"/>
      <c r="G21" s="84"/>
      <c r="H21" s="36"/>
      <c r="I21" s="36"/>
      <c r="K21" s="36"/>
      <c r="L21" s="80"/>
      <c r="M21" s="84"/>
      <c r="N21" s="84"/>
      <c r="O21" s="84"/>
      <c r="P21" s="84"/>
      <c r="Q21" s="36"/>
      <c r="R21" s="36"/>
    </row>
    <row r="22" spans="2:18" s="40" customFormat="1" x14ac:dyDescent="0.2">
      <c r="B22" s="36"/>
      <c r="C22" s="80"/>
      <c r="D22" s="84"/>
      <c r="E22" s="84"/>
      <c r="F22" s="84"/>
      <c r="G22" s="84"/>
      <c r="H22" s="36"/>
      <c r="I22" s="36"/>
      <c r="K22" s="36"/>
      <c r="L22" s="80"/>
      <c r="M22" s="84"/>
      <c r="N22" s="84"/>
      <c r="O22" s="84"/>
      <c r="P22" s="84"/>
      <c r="Q22" s="36"/>
      <c r="R22" s="36"/>
    </row>
    <row r="23" spans="2:18" s="40" customFormat="1" x14ac:dyDescent="0.2">
      <c r="B23" s="36"/>
      <c r="C23" s="80"/>
      <c r="D23" s="84"/>
      <c r="E23" s="84"/>
      <c r="F23" s="84"/>
      <c r="G23" s="84"/>
      <c r="H23" s="36"/>
      <c r="I23" s="36"/>
      <c r="K23" s="36"/>
      <c r="L23" s="80"/>
      <c r="M23" s="84"/>
      <c r="N23" s="84"/>
      <c r="O23" s="84"/>
      <c r="P23" s="84"/>
      <c r="Q23" s="36"/>
      <c r="R23" s="36"/>
    </row>
    <row r="24" spans="2:18" s="40" customFormat="1" x14ac:dyDescent="0.2">
      <c r="B24" s="36"/>
      <c r="C24" s="80"/>
      <c r="D24" s="84"/>
      <c r="E24" s="84"/>
      <c r="F24" s="84"/>
      <c r="G24" s="84"/>
      <c r="H24" s="36"/>
      <c r="I24" s="36"/>
      <c r="K24" s="36"/>
      <c r="L24" s="80"/>
      <c r="M24" s="84"/>
      <c r="N24" s="84"/>
      <c r="O24" s="84"/>
      <c r="P24" s="84"/>
      <c r="Q24" s="36"/>
      <c r="R24" s="36"/>
    </row>
    <row r="25" spans="2:18" s="40" customFormat="1" x14ac:dyDescent="0.2">
      <c r="B25" s="36"/>
      <c r="C25" s="80"/>
      <c r="D25" s="84"/>
      <c r="E25" s="84"/>
      <c r="F25" s="84"/>
      <c r="G25" s="84"/>
      <c r="H25" s="36"/>
      <c r="I25" s="36"/>
      <c r="K25" s="36"/>
      <c r="L25" s="80"/>
      <c r="M25" s="84"/>
      <c r="N25" s="84"/>
      <c r="O25" s="84"/>
      <c r="P25" s="84"/>
      <c r="Q25" s="36"/>
      <c r="R25" s="36"/>
    </row>
    <row r="26" spans="2:18" s="40" customFormat="1" x14ac:dyDescent="0.2">
      <c r="B26" s="36"/>
      <c r="C26" s="80"/>
      <c r="D26" s="84"/>
      <c r="E26" s="84"/>
      <c r="F26" s="84"/>
      <c r="G26" s="84"/>
      <c r="H26" s="36"/>
      <c r="I26" s="36"/>
      <c r="K26" s="36"/>
      <c r="L26" s="80"/>
      <c r="M26" s="84"/>
      <c r="N26" s="84"/>
      <c r="O26" s="84"/>
      <c r="P26" s="84"/>
      <c r="Q26" s="36"/>
      <c r="R26" s="36"/>
    </row>
    <row r="27" spans="2:18" s="40" customFormat="1" x14ac:dyDescent="0.2">
      <c r="B27" s="36"/>
      <c r="C27" s="80"/>
      <c r="D27" s="84"/>
      <c r="E27" s="84"/>
      <c r="F27" s="84"/>
      <c r="G27" s="84"/>
      <c r="H27" s="36"/>
      <c r="I27" s="36"/>
      <c r="K27" s="36"/>
      <c r="L27" s="80"/>
      <c r="M27" s="84"/>
      <c r="N27" s="84"/>
      <c r="O27" s="84"/>
      <c r="P27" s="84"/>
      <c r="Q27" s="36"/>
      <c r="R27" s="36"/>
    </row>
    <row r="28" spans="2:18" s="40" customFormat="1" x14ac:dyDescent="0.2">
      <c r="B28" s="36"/>
      <c r="C28" s="80"/>
      <c r="D28" s="84"/>
      <c r="E28" s="84"/>
      <c r="F28" s="84"/>
      <c r="G28" s="84"/>
      <c r="H28" s="36"/>
      <c r="I28" s="36"/>
      <c r="K28" s="36"/>
      <c r="L28" s="80"/>
      <c r="M28" s="84"/>
      <c r="N28" s="84"/>
      <c r="O28" s="84"/>
      <c r="P28" s="84"/>
      <c r="Q28" s="36"/>
      <c r="R28" s="36"/>
    </row>
    <row r="29" spans="2:18" s="40" customFormat="1" x14ac:dyDescent="0.2">
      <c r="B29" s="36"/>
      <c r="C29" s="80"/>
      <c r="D29" s="84"/>
      <c r="E29" s="84"/>
      <c r="F29" s="84"/>
      <c r="G29" s="84"/>
      <c r="H29" s="36"/>
      <c r="I29" s="36"/>
      <c r="K29" s="36"/>
      <c r="L29" s="80"/>
      <c r="M29" s="84"/>
      <c r="N29" s="84"/>
      <c r="O29" s="84"/>
      <c r="P29" s="84"/>
      <c r="Q29" s="36"/>
      <c r="R29" s="36"/>
    </row>
    <row r="30" spans="2:18" s="40" customFormat="1" x14ac:dyDescent="0.2">
      <c r="B30" s="36"/>
      <c r="C30" s="80"/>
      <c r="D30" s="84"/>
      <c r="E30" s="84"/>
      <c r="F30" s="84"/>
      <c r="G30" s="84"/>
      <c r="H30" s="36"/>
      <c r="I30" s="36"/>
      <c r="K30" s="36"/>
      <c r="L30" s="80"/>
      <c r="M30" s="84"/>
      <c r="N30" s="84"/>
      <c r="O30" s="84"/>
      <c r="P30" s="84"/>
      <c r="Q30" s="36"/>
      <c r="R30" s="36"/>
    </row>
    <row r="31" spans="2:18" s="40" customFormat="1" x14ac:dyDescent="0.2">
      <c r="B31" s="36"/>
      <c r="C31" s="80"/>
      <c r="D31" s="84"/>
      <c r="E31" s="84"/>
      <c r="F31" s="84"/>
      <c r="G31" s="84"/>
      <c r="H31" s="36"/>
      <c r="I31" s="36"/>
      <c r="K31" s="36"/>
      <c r="L31" s="80"/>
      <c r="M31" s="84"/>
      <c r="N31" s="84"/>
      <c r="O31" s="84"/>
      <c r="P31" s="84"/>
      <c r="Q31" s="36"/>
      <c r="R31" s="36"/>
    </row>
    <row r="32" spans="2:18" s="40" customFormat="1" x14ac:dyDescent="0.2">
      <c r="B32" s="36"/>
      <c r="C32" s="80"/>
      <c r="D32" s="84"/>
      <c r="E32" s="84"/>
      <c r="F32" s="84"/>
      <c r="G32" s="84"/>
      <c r="H32" s="36"/>
      <c r="I32" s="36"/>
      <c r="K32" s="36"/>
      <c r="L32" s="80"/>
      <c r="M32" s="84"/>
      <c r="N32" s="84"/>
      <c r="O32" s="84"/>
      <c r="P32" s="84"/>
      <c r="Q32" s="36"/>
      <c r="R32" s="36"/>
    </row>
    <row r="33" spans="2:18" s="40" customFormat="1" x14ac:dyDescent="0.2">
      <c r="B33" s="36"/>
      <c r="C33" s="80"/>
      <c r="D33" s="84"/>
      <c r="E33" s="84"/>
      <c r="F33" s="84"/>
      <c r="G33" s="84"/>
      <c r="H33" s="36"/>
      <c r="I33" s="36"/>
      <c r="K33" s="36"/>
      <c r="L33" s="80"/>
      <c r="M33" s="84"/>
      <c r="N33" s="84"/>
      <c r="O33" s="84"/>
      <c r="P33" s="84"/>
      <c r="Q33" s="36"/>
      <c r="R33" s="36"/>
    </row>
    <row r="34" spans="2:18" s="40" customFormat="1" x14ac:dyDescent="0.2">
      <c r="B34" s="36"/>
      <c r="C34" s="80"/>
      <c r="D34" s="84"/>
      <c r="E34" s="84"/>
      <c r="F34" s="84"/>
      <c r="G34" s="84"/>
      <c r="H34" s="36"/>
      <c r="I34" s="36"/>
      <c r="K34" s="36"/>
      <c r="L34" s="80"/>
      <c r="M34" s="84"/>
      <c r="N34" s="84"/>
      <c r="O34" s="84"/>
      <c r="P34" s="84"/>
      <c r="Q34" s="36"/>
      <c r="R34" s="36"/>
    </row>
    <row r="35" spans="2:18" s="40" customFormat="1" x14ac:dyDescent="0.2">
      <c r="B35" s="36"/>
      <c r="C35" s="80"/>
      <c r="D35" s="84"/>
      <c r="E35" s="84"/>
      <c r="F35" s="84"/>
      <c r="G35" s="84"/>
      <c r="H35" s="36"/>
      <c r="I35" s="36"/>
      <c r="K35" s="36"/>
      <c r="L35" s="80"/>
      <c r="M35" s="84"/>
      <c r="N35" s="84"/>
      <c r="O35" s="84"/>
      <c r="P35" s="84"/>
      <c r="Q35" s="36"/>
      <c r="R35" s="36"/>
    </row>
    <row r="36" spans="2:18" s="40" customFormat="1" x14ac:dyDescent="0.2">
      <c r="B36" s="36"/>
      <c r="C36" s="80"/>
      <c r="D36" s="84"/>
      <c r="E36" s="84"/>
      <c r="F36" s="84"/>
      <c r="G36" s="84"/>
      <c r="H36" s="36"/>
      <c r="I36" s="36"/>
      <c r="K36" s="36"/>
      <c r="L36" s="80"/>
      <c r="M36" s="84"/>
      <c r="N36" s="84"/>
      <c r="O36" s="84"/>
      <c r="P36" s="84"/>
      <c r="Q36" s="36"/>
      <c r="R36" s="36"/>
    </row>
    <row r="37" spans="2:18" s="40" customFormat="1" x14ac:dyDescent="0.2">
      <c r="B37" s="36"/>
      <c r="C37" s="80"/>
      <c r="D37" s="84"/>
      <c r="E37" s="84"/>
      <c r="F37" s="84"/>
      <c r="G37" s="84"/>
      <c r="H37" s="36"/>
      <c r="I37" s="36"/>
      <c r="K37" s="36"/>
      <c r="L37" s="80"/>
      <c r="M37" s="84"/>
      <c r="N37" s="84"/>
      <c r="O37" s="84"/>
      <c r="P37" s="84"/>
      <c r="Q37" s="36"/>
      <c r="R37" s="36"/>
    </row>
    <row r="38" spans="2:18" s="40" customFormat="1" x14ac:dyDescent="0.2">
      <c r="B38" s="36"/>
      <c r="C38" s="80"/>
      <c r="D38" s="84"/>
      <c r="E38" s="84"/>
      <c r="F38" s="84"/>
      <c r="G38" s="84"/>
      <c r="H38" s="36"/>
      <c r="I38" s="36"/>
      <c r="K38" s="36"/>
      <c r="L38" s="80"/>
      <c r="M38" s="84"/>
      <c r="N38" s="84"/>
      <c r="O38" s="84"/>
      <c r="P38" s="84"/>
      <c r="Q38" s="36"/>
      <c r="R38" s="36"/>
    </row>
    <row r="39" spans="2:18" s="40" customFormat="1" x14ac:dyDescent="0.2">
      <c r="B39" s="36"/>
      <c r="C39" s="80"/>
      <c r="D39" s="84"/>
      <c r="E39" s="84"/>
      <c r="F39" s="84"/>
      <c r="G39" s="84"/>
      <c r="H39" s="36"/>
      <c r="I39" s="36"/>
      <c r="K39" s="36"/>
      <c r="L39" s="80"/>
      <c r="M39" s="84"/>
      <c r="N39" s="84"/>
      <c r="O39" s="84"/>
      <c r="P39" s="84"/>
      <c r="Q39" s="36"/>
      <c r="R39" s="36"/>
    </row>
    <row r="40" spans="2:18" s="40" customFormat="1" x14ac:dyDescent="0.2">
      <c r="B40" s="36"/>
      <c r="C40" s="80"/>
      <c r="D40" s="84"/>
      <c r="E40" s="84"/>
      <c r="F40" s="84"/>
      <c r="G40" s="84"/>
      <c r="H40" s="36"/>
      <c r="I40" s="36"/>
      <c r="K40" s="36"/>
      <c r="L40" s="80"/>
      <c r="M40" s="84"/>
      <c r="N40" s="84"/>
      <c r="O40" s="84"/>
      <c r="P40" s="84"/>
      <c r="Q40" s="36"/>
      <c r="R40" s="36"/>
    </row>
    <row r="41" spans="2:18" s="40" customFormat="1" x14ac:dyDescent="0.2">
      <c r="B41" s="36"/>
      <c r="C41" s="80"/>
      <c r="D41" s="84"/>
      <c r="E41" s="84"/>
      <c r="F41" s="84"/>
      <c r="G41" s="84"/>
      <c r="H41" s="36"/>
      <c r="I41" s="36"/>
      <c r="K41" s="36"/>
      <c r="L41" s="80"/>
      <c r="M41" s="84"/>
      <c r="N41" s="84"/>
      <c r="O41" s="84"/>
      <c r="P41" s="84"/>
      <c r="Q41" s="36"/>
      <c r="R41" s="36"/>
    </row>
    <row r="42" spans="2:18" s="40" customFormat="1" x14ac:dyDescent="0.2">
      <c r="B42" s="36"/>
      <c r="C42" s="80"/>
      <c r="D42" s="84"/>
      <c r="E42" s="84"/>
      <c r="F42" s="84"/>
      <c r="G42" s="84"/>
      <c r="H42" s="36"/>
      <c r="I42" s="36"/>
      <c r="K42" s="36"/>
      <c r="L42" s="80"/>
      <c r="M42" s="84"/>
      <c r="N42" s="84"/>
      <c r="O42" s="84"/>
      <c r="P42" s="84"/>
      <c r="Q42" s="36"/>
      <c r="R42" s="36"/>
    </row>
    <row r="43" spans="2:18" s="40" customFormat="1" x14ac:dyDescent="0.2">
      <c r="B43" s="36"/>
      <c r="C43" s="80"/>
      <c r="D43" s="84"/>
      <c r="E43" s="84"/>
      <c r="F43" s="84"/>
      <c r="G43" s="84"/>
      <c r="H43" s="36"/>
      <c r="I43" s="36"/>
      <c r="K43" s="36"/>
      <c r="L43" s="80"/>
      <c r="M43" s="84"/>
      <c r="N43" s="84"/>
      <c r="O43" s="84"/>
      <c r="P43" s="84"/>
      <c r="Q43" s="36"/>
      <c r="R43" s="36"/>
    </row>
    <row r="44" spans="2:18" s="40" customFormat="1" x14ac:dyDescent="0.2">
      <c r="B44" s="36"/>
      <c r="C44" s="80"/>
      <c r="D44" s="84"/>
      <c r="E44" s="84"/>
      <c r="F44" s="84"/>
      <c r="G44" s="84"/>
      <c r="H44" s="36"/>
      <c r="I44" s="36"/>
      <c r="K44" s="36"/>
      <c r="L44" s="80"/>
      <c r="M44" s="84"/>
      <c r="N44" s="84"/>
      <c r="O44" s="84"/>
      <c r="P44" s="84"/>
      <c r="Q44" s="36"/>
      <c r="R44" s="36"/>
    </row>
    <row r="45" spans="2:18" s="40" customFormat="1" x14ac:dyDescent="0.2">
      <c r="B45" s="36"/>
      <c r="C45" s="80"/>
      <c r="D45" s="84"/>
      <c r="E45" s="84"/>
      <c r="F45" s="84"/>
      <c r="G45" s="84"/>
      <c r="H45" s="36"/>
      <c r="I45" s="36"/>
      <c r="K45" s="36"/>
      <c r="L45" s="80"/>
      <c r="M45" s="84"/>
      <c r="N45" s="84"/>
      <c r="O45" s="84"/>
      <c r="P45" s="84"/>
      <c r="Q45" s="36"/>
      <c r="R45" s="36"/>
    </row>
    <row r="46" spans="2:18" s="40" customFormat="1" x14ac:dyDescent="0.2">
      <c r="B46" s="36"/>
      <c r="C46" s="80"/>
      <c r="D46" s="84"/>
      <c r="E46" s="84"/>
      <c r="F46" s="84"/>
      <c r="G46" s="84"/>
      <c r="H46" s="36"/>
      <c r="I46" s="36"/>
      <c r="K46" s="36"/>
      <c r="L46" s="80"/>
      <c r="M46" s="84"/>
      <c r="N46" s="84"/>
      <c r="O46" s="84"/>
      <c r="P46" s="84"/>
      <c r="Q46" s="36"/>
      <c r="R46" s="36"/>
    </row>
    <row r="47" spans="2:18" s="40" customFormat="1" x14ac:dyDescent="0.2">
      <c r="B47" s="36"/>
      <c r="C47" s="80"/>
      <c r="D47" s="84"/>
      <c r="E47" s="84"/>
      <c r="F47" s="84"/>
      <c r="G47" s="84"/>
      <c r="H47" s="36"/>
      <c r="I47" s="36"/>
      <c r="K47" s="36"/>
      <c r="L47" s="80"/>
      <c r="M47" s="84"/>
      <c r="N47" s="84"/>
      <c r="O47" s="84"/>
      <c r="P47" s="84"/>
      <c r="Q47" s="36"/>
      <c r="R47" s="36"/>
    </row>
    <row r="48" spans="2:18" s="40" customFormat="1" x14ac:dyDescent="0.2">
      <c r="B48" s="36"/>
      <c r="C48" s="80"/>
      <c r="D48" s="84"/>
      <c r="E48" s="84"/>
      <c r="F48" s="84"/>
      <c r="G48" s="84"/>
      <c r="H48" s="36"/>
      <c r="I48" s="36"/>
      <c r="K48" s="36"/>
      <c r="L48" s="80"/>
      <c r="M48" s="84"/>
      <c r="N48" s="84"/>
      <c r="O48" s="84"/>
      <c r="P48" s="84"/>
      <c r="Q48" s="36"/>
      <c r="R48" s="36"/>
    </row>
    <row r="49" spans="2:18" s="40" customFormat="1" x14ac:dyDescent="0.2">
      <c r="B49" s="36"/>
      <c r="C49" s="80"/>
      <c r="D49" s="84"/>
      <c r="E49" s="84"/>
      <c r="F49" s="84"/>
      <c r="G49" s="84"/>
      <c r="H49" s="36"/>
      <c r="I49" s="36"/>
      <c r="K49" s="36"/>
      <c r="L49" s="80"/>
      <c r="M49" s="84"/>
      <c r="N49" s="84"/>
      <c r="O49" s="84"/>
      <c r="P49" s="84"/>
      <c r="Q49" s="36"/>
      <c r="R49" s="36"/>
    </row>
    <row r="50" spans="2:18" s="40" customFormat="1" x14ac:dyDescent="0.2">
      <c r="B50" s="36"/>
      <c r="C50" s="80"/>
      <c r="D50" s="84"/>
      <c r="E50" s="84"/>
      <c r="F50" s="84"/>
      <c r="G50" s="84"/>
      <c r="H50" s="36"/>
      <c r="I50" s="36"/>
      <c r="K50" s="36"/>
      <c r="L50" s="80"/>
      <c r="M50" s="84"/>
      <c r="N50" s="84"/>
      <c r="O50" s="84"/>
      <c r="P50" s="84"/>
      <c r="Q50" s="36"/>
      <c r="R50" s="36"/>
    </row>
    <row r="51" spans="2:18" s="40" customFormat="1" x14ac:dyDescent="0.2">
      <c r="B51" s="36"/>
      <c r="C51" s="80"/>
      <c r="D51" s="84"/>
      <c r="E51" s="84"/>
      <c r="F51" s="84"/>
      <c r="G51" s="84"/>
      <c r="H51" s="36"/>
      <c r="I51" s="36"/>
      <c r="K51" s="36"/>
      <c r="L51" s="80"/>
      <c r="M51" s="84"/>
      <c r="N51" s="84"/>
      <c r="O51" s="84"/>
      <c r="P51" s="84"/>
      <c r="Q51" s="36"/>
      <c r="R51" s="36"/>
    </row>
    <row r="52" spans="2:18" s="40" customFormat="1" x14ac:dyDescent="0.2">
      <c r="B52" s="36"/>
      <c r="C52" s="80"/>
      <c r="D52" s="84"/>
      <c r="E52" s="84"/>
      <c r="F52" s="84"/>
      <c r="G52" s="84"/>
      <c r="H52" s="36"/>
      <c r="I52" s="36"/>
      <c r="K52" s="36"/>
      <c r="L52" s="80"/>
      <c r="M52" s="84"/>
      <c r="N52" s="84"/>
      <c r="O52" s="84"/>
      <c r="P52" s="84"/>
      <c r="Q52" s="36"/>
      <c r="R52" s="36"/>
    </row>
    <row r="53" spans="2:18" s="40" customFormat="1" x14ac:dyDescent="0.2">
      <c r="B53" s="36"/>
      <c r="C53" s="80"/>
      <c r="D53" s="84"/>
      <c r="E53" s="84"/>
      <c r="F53" s="84"/>
      <c r="G53" s="84"/>
      <c r="H53" s="36"/>
      <c r="I53" s="36"/>
      <c r="K53" s="36"/>
      <c r="L53" s="80"/>
      <c r="M53" s="84"/>
      <c r="N53" s="84"/>
      <c r="O53" s="84"/>
      <c r="P53" s="84"/>
      <c r="Q53" s="36"/>
      <c r="R53" s="36"/>
    </row>
    <row r="54" spans="2:18" s="40" customFormat="1" x14ac:dyDescent="0.2">
      <c r="B54" s="36"/>
      <c r="C54" s="80"/>
      <c r="D54" s="84"/>
      <c r="E54" s="84"/>
      <c r="F54" s="84"/>
      <c r="G54" s="84"/>
      <c r="H54" s="36"/>
      <c r="I54" s="36"/>
      <c r="K54" s="36"/>
      <c r="L54" s="80"/>
      <c r="M54" s="84"/>
      <c r="N54" s="84"/>
      <c r="O54" s="84"/>
      <c r="P54" s="84"/>
      <c r="Q54" s="36"/>
      <c r="R54" s="36"/>
    </row>
    <row r="55" spans="2:18" s="40" customFormat="1" x14ac:dyDescent="0.2">
      <c r="B55" s="36"/>
      <c r="C55" s="80"/>
      <c r="D55" s="84"/>
      <c r="E55" s="84"/>
      <c r="F55" s="84"/>
      <c r="G55" s="84"/>
      <c r="H55" s="36"/>
      <c r="I55" s="36"/>
      <c r="K55" s="36"/>
      <c r="L55" s="80"/>
      <c r="M55" s="84"/>
      <c r="N55" s="84"/>
      <c r="O55" s="84"/>
      <c r="P55" s="84"/>
      <c r="Q55" s="36"/>
      <c r="R55" s="36"/>
    </row>
    <row r="56" spans="2:18" s="40" customFormat="1" x14ac:dyDescent="0.2">
      <c r="B56" s="36"/>
      <c r="C56" s="80"/>
      <c r="D56" s="84"/>
      <c r="E56" s="84"/>
      <c r="F56" s="84"/>
      <c r="G56" s="84"/>
      <c r="H56" s="36"/>
      <c r="I56" s="36"/>
      <c r="K56" s="36"/>
      <c r="L56" s="80"/>
      <c r="M56" s="84"/>
      <c r="N56" s="84"/>
      <c r="O56" s="84"/>
      <c r="P56" s="84"/>
      <c r="Q56" s="36"/>
      <c r="R56" s="36"/>
    </row>
    <row r="57" spans="2:18" s="40" customFormat="1" x14ac:dyDescent="0.2">
      <c r="B57" s="36"/>
      <c r="C57" s="80"/>
      <c r="D57" s="84"/>
      <c r="E57" s="84"/>
      <c r="F57" s="84"/>
      <c r="G57" s="84"/>
      <c r="H57" s="36"/>
      <c r="I57" s="36"/>
      <c r="K57" s="36"/>
      <c r="L57" s="80"/>
      <c r="M57" s="84"/>
      <c r="N57" s="84"/>
      <c r="O57" s="84"/>
      <c r="P57" s="84"/>
      <c r="Q57" s="36"/>
      <c r="R57" s="36"/>
    </row>
    <row r="58" spans="2:18" s="40" customFormat="1" x14ac:dyDescent="0.2">
      <c r="B58" s="36"/>
      <c r="C58" s="80"/>
      <c r="D58" s="84"/>
      <c r="E58" s="84"/>
      <c r="F58" s="84"/>
      <c r="G58" s="84"/>
      <c r="H58" s="36"/>
      <c r="I58" s="36"/>
      <c r="K58" s="36"/>
      <c r="L58" s="80"/>
      <c r="M58" s="84"/>
      <c r="N58" s="84"/>
      <c r="O58" s="84"/>
      <c r="P58" s="84"/>
      <c r="Q58" s="36"/>
      <c r="R58" s="36"/>
    </row>
    <row r="59" spans="2:18" s="40" customFormat="1" x14ac:dyDescent="0.2">
      <c r="B59" s="36"/>
      <c r="C59" s="80"/>
      <c r="D59" s="84"/>
      <c r="E59" s="84"/>
      <c r="F59" s="84"/>
      <c r="G59" s="84"/>
      <c r="H59" s="36"/>
      <c r="I59" s="36"/>
      <c r="K59" s="36"/>
      <c r="L59" s="80"/>
      <c r="M59" s="84"/>
      <c r="N59" s="84"/>
      <c r="O59" s="84"/>
      <c r="P59" s="84"/>
      <c r="Q59" s="36"/>
      <c r="R59" s="36"/>
    </row>
    <row r="60" spans="2:18" s="40" customFormat="1" x14ac:dyDescent="0.2">
      <c r="B60" s="36"/>
      <c r="C60" s="80"/>
      <c r="D60" s="84"/>
      <c r="E60" s="84"/>
      <c r="F60" s="84"/>
      <c r="G60" s="84"/>
      <c r="H60" s="36"/>
      <c r="I60" s="36"/>
      <c r="K60" s="36"/>
      <c r="L60" s="80"/>
      <c r="M60" s="84"/>
      <c r="N60" s="84"/>
      <c r="O60" s="84"/>
      <c r="P60" s="84"/>
      <c r="Q60" s="36"/>
      <c r="R60" s="36"/>
    </row>
    <row r="61" spans="2:18" s="40" customFormat="1" x14ac:dyDescent="0.2">
      <c r="B61" s="36"/>
      <c r="C61" s="80"/>
      <c r="D61" s="84"/>
      <c r="E61" s="84"/>
      <c r="F61" s="84"/>
      <c r="G61" s="84"/>
      <c r="H61" s="36"/>
      <c r="I61" s="36"/>
      <c r="K61" s="36"/>
      <c r="L61" s="80"/>
      <c r="M61" s="84"/>
      <c r="N61" s="84"/>
      <c r="O61" s="84"/>
      <c r="P61" s="84"/>
      <c r="Q61" s="36"/>
      <c r="R61" s="36"/>
    </row>
    <row r="62" spans="2:18" s="40" customFormat="1" x14ac:dyDescent="0.2">
      <c r="B62" s="36"/>
      <c r="C62" s="80"/>
      <c r="D62" s="84"/>
      <c r="E62" s="84"/>
      <c r="F62" s="84"/>
      <c r="G62" s="84"/>
      <c r="H62" s="36"/>
      <c r="I62" s="36"/>
      <c r="K62" s="36"/>
      <c r="L62" s="80"/>
      <c r="M62" s="84"/>
      <c r="N62" s="84"/>
      <c r="O62" s="84"/>
      <c r="P62" s="84"/>
      <c r="Q62" s="36"/>
      <c r="R62" s="36"/>
    </row>
    <row r="63" spans="2:18" s="40" customFormat="1" x14ac:dyDescent="0.2">
      <c r="B63" s="36"/>
      <c r="C63" s="80"/>
      <c r="D63" s="84"/>
      <c r="E63" s="84"/>
      <c r="F63" s="84"/>
      <c r="G63" s="84"/>
      <c r="H63" s="36"/>
      <c r="I63" s="36"/>
      <c r="K63" s="36"/>
      <c r="L63" s="80"/>
      <c r="M63" s="84"/>
      <c r="N63" s="84"/>
      <c r="O63" s="84"/>
      <c r="P63" s="84"/>
      <c r="Q63" s="36"/>
      <c r="R63" s="36"/>
    </row>
    <row r="64" spans="2:18" s="40" customFormat="1" x14ac:dyDescent="0.2">
      <c r="B64" s="36"/>
      <c r="C64" s="80"/>
      <c r="D64" s="84"/>
      <c r="E64" s="84"/>
      <c r="F64" s="84"/>
      <c r="G64" s="84"/>
      <c r="H64" s="36"/>
      <c r="I64" s="36"/>
      <c r="K64" s="36"/>
      <c r="L64" s="80"/>
      <c r="M64" s="84"/>
      <c r="N64" s="84"/>
      <c r="O64" s="84"/>
      <c r="P64" s="84"/>
      <c r="Q64" s="36"/>
      <c r="R64" s="36"/>
    </row>
    <row r="65" spans="2:18" s="40" customFormat="1" x14ac:dyDescent="0.2">
      <c r="B65" s="36"/>
      <c r="C65" s="80"/>
      <c r="D65" s="84"/>
      <c r="E65" s="84"/>
      <c r="F65" s="84"/>
      <c r="G65" s="84"/>
      <c r="H65" s="36"/>
      <c r="I65" s="36"/>
      <c r="K65" s="36"/>
      <c r="L65" s="80"/>
      <c r="M65" s="84"/>
      <c r="N65" s="84"/>
      <c r="O65" s="84"/>
      <c r="P65" s="84"/>
      <c r="Q65" s="36"/>
      <c r="R65" s="36"/>
    </row>
    <row r="66" spans="2:18" s="40" customFormat="1" x14ac:dyDescent="0.2">
      <c r="B66" s="36"/>
      <c r="C66" s="80"/>
      <c r="D66" s="84"/>
      <c r="E66" s="84"/>
      <c r="F66" s="84"/>
      <c r="G66" s="84"/>
      <c r="H66" s="36"/>
      <c r="I66" s="36"/>
      <c r="K66" s="36"/>
      <c r="L66" s="80"/>
      <c r="M66" s="84"/>
      <c r="N66" s="84"/>
      <c r="O66" s="84"/>
      <c r="P66" s="84"/>
      <c r="Q66" s="36"/>
      <c r="R66" s="36"/>
    </row>
    <row r="67" spans="2:18" s="40" customFormat="1" x14ac:dyDescent="0.2">
      <c r="B67" s="36"/>
      <c r="C67" s="80"/>
      <c r="D67" s="84"/>
      <c r="E67" s="84"/>
      <c r="F67" s="84"/>
      <c r="G67" s="84"/>
      <c r="H67" s="36"/>
      <c r="I67" s="36"/>
      <c r="K67" s="36"/>
      <c r="L67" s="80"/>
      <c r="M67" s="84"/>
      <c r="N67" s="84"/>
      <c r="O67" s="84"/>
      <c r="P67" s="84"/>
      <c r="Q67" s="36"/>
      <c r="R67" s="36"/>
    </row>
    <row r="68" spans="2:18" s="40" customFormat="1" x14ac:dyDescent="0.2">
      <c r="B68" s="36"/>
      <c r="C68" s="80"/>
      <c r="D68" s="84"/>
      <c r="E68" s="84"/>
      <c r="F68" s="84"/>
      <c r="G68" s="84"/>
      <c r="H68" s="36"/>
      <c r="I68" s="36"/>
      <c r="K68" s="36"/>
      <c r="L68" s="80"/>
      <c r="M68" s="84"/>
      <c r="N68" s="84"/>
      <c r="O68" s="84"/>
      <c r="P68" s="84"/>
      <c r="Q68" s="36"/>
      <c r="R68" s="36"/>
    </row>
    <row r="69" spans="2:18" s="40" customFormat="1" x14ac:dyDescent="0.2">
      <c r="B69" s="36"/>
      <c r="C69" s="80"/>
      <c r="D69" s="84"/>
      <c r="E69" s="84"/>
      <c r="F69" s="84"/>
      <c r="G69" s="84"/>
      <c r="H69" s="36"/>
      <c r="I69" s="36"/>
      <c r="K69" s="36"/>
      <c r="L69" s="80"/>
      <c r="M69" s="84"/>
      <c r="N69" s="84"/>
      <c r="O69" s="84"/>
      <c r="P69" s="84"/>
      <c r="Q69" s="36"/>
      <c r="R69" s="36"/>
    </row>
    <row r="70" spans="2:18" s="40" customFormat="1" x14ac:dyDescent="0.2">
      <c r="B70" s="36"/>
      <c r="C70" s="80"/>
      <c r="D70" s="84"/>
      <c r="E70" s="84"/>
      <c r="F70" s="84"/>
      <c r="G70" s="84"/>
      <c r="H70" s="36"/>
      <c r="I70" s="36"/>
      <c r="K70" s="36"/>
      <c r="L70" s="80"/>
      <c r="M70" s="84"/>
      <c r="N70" s="84"/>
      <c r="O70" s="84"/>
      <c r="P70" s="84"/>
      <c r="Q70" s="36"/>
      <c r="R70" s="36"/>
    </row>
    <row r="71" spans="2:18" s="40" customFormat="1" x14ac:dyDescent="0.2">
      <c r="B71" s="36"/>
      <c r="C71" s="80"/>
      <c r="D71" s="84"/>
      <c r="E71" s="84"/>
      <c r="F71" s="84"/>
      <c r="G71" s="84"/>
      <c r="H71" s="36"/>
      <c r="I71" s="36"/>
      <c r="K71" s="36"/>
      <c r="L71" s="80"/>
      <c r="M71" s="84"/>
      <c r="N71" s="84"/>
      <c r="O71" s="84"/>
      <c r="P71" s="84"/>
      <c r="Q71" s="36"/>
      <c r="R71" s="36"/>
    </row>
    <row r="72" spans="2:18" s="40" customFormat="1" x14ac:dyDescent="0.2">
      <c r="B72" s="36"/>
      <c r="C72" s="80"/>
      <c r="D72" s="84"/>
      <c r="E72" s="84"/>
      <c r="F72" s="84"/>
      <c r="G72" s="84"/>
      <c r="H72" s="36"/>
      <c r="I72" s="36"/>
      <c r="K72" s="36"/>
      <c r="L72" s="80"/>
      <c r="M72" s="84"/>
      <c r="N72" s="84"/>
      <c r="O72" s="84"/>
      <c r="P72" s="84"/>
      <c r="Q72" s="36"/>
      <c r="R72" s="36"/>
    </row>
    <row r="73" spans="2:18" s="40" customFormat="1" x14ac:dyDescent="0.2">
      <c r="B73" s="36"/>
      <c r="C73" s="80"/>
      <c r="D73" s="84"/>
      <c r="E73" s="84"/>
      <c r="F73" s="84"/>
      <c r="G73" s="84"/>
      <c r="H73" s="36"/>
      <c r="I73" s="36"/>
      <c r="K73" s="36"/>
      <c r="L73" s="80"/>
      <c r="M73" s="84"/>
      <c r="N73" s="84"/>
      <c r="O73" s="84"/>
      <c r="P73" s="84"/>
      <c r="Q73" s="36"/>
      <c r="R73" s="36"/>
    </row>
    <row r="74" spans="2:18" s="40" customFormat="1" x14ac:dyDescent="0.2">
      <c r="B74" s="36"/>
      <c r="C74" s="80"/>
      <c r="D74" s="84"/>
      <c r="E74" s="84"/>
      <c r="F74" s="84"/>
      <c r="G74" s="84"/>
      <c r="H74" s="36"/>
      <c r="I74" s="36"/>
      <c r="K74" s="36"/>
      <c r="L74" s="80"/>
      <c r="M74" s="84"/>
      <c r="N74" s="84"/>
      <c r="O74" s="84"/>
      <c r="P74" s="84"/>
      <c r="Q74" s="36"/>
      <c r="R74" s="36"/>
    </row>
    <row r="75" spans="2:18" s="40" customFormat="1" x14ac:dyDescent="0.2">
      <c r="B75" s="36"/>
      <c r="C75" s="80"/>
      <c r="D75" s="84"/>
      <c r="E75" s="84"/>
      <c r="F75" s="84"/>
      <c r="G75" s="84"/>
      <c r="H75" s="36"/>
      <c r="I75" s="36"/>
      <c r="K75" s="36"/>
      <c r="L75" s="80"/>
      <c r="M75" s="84"/>
      <c r="N75" s="84"/>
      <c r="O75" s="84"/>
      <c r="P75" s="84"/>
      <c r="Q75" s="36"/>
      <c r="R75" s="36"/>
    </row>
    <row r="76" spans="2:18" s="40" customFormat="1" x14ac:dyDescent="0.2">
      <c r="B76" s="36"/>
      <c r="C76" s="80"/>
      <c r="D76" s="84"/>
      <c r="E76" s="84"/>
      <c r="F76" s="84"/>
      <c r="G76" s="84"/>
      <c r="H76" s="36"/>
      <c r="I76" s="36"/>
      <c r="K76" s="36"/>
      <c r="L76" s="80"/>
      <c r="M76" s="84"/>
      <c r="N76" s="84"/>
      <c r="O76" s="84"/>
      <c r="P76" s="84"/>
      <c r="Q76" s="36"/>
      <c r="R76" s="36"/>
    </row>
    <row r="77" spans="2:18" s="40" customFormat="1" x14ac:dyDescent="0.2">
      <c r="B77" s="36"/>
      <c r="C77" s="80"/>
      <c r="D77" s="84"/>
      <c r="E77" s="84"/>
      <c r="F77" s="84"/>
      <c r="G77" s="84"/>
      <c r="H77" s="36"/>
      <c r="I77" s="36"/>
      <c r="K77" s="36"/>
      <c r="L77" s="80"/>
      <c r="M77" s="84"/>
      <c r="N77" s="84"/>
      <c r="O77" s="84"/>
      <c r="P77" s="84"/>
      <c r="Q77" s="36"/>
      <c r="R77" s="36"/>
    </row>
    <row r="78" spans="2:18" s="40" customFormat="1" x14ac:dyDescent="0.2">
      <c r="B78" s="36"/>
      <c r="C78" s="80"/>
      <c r="D78" s="84"/>
      <c r="E78" s="84"/>
      <c r="F78" s="84"/>
      <c r="G78" s="84"/>
      <c r="H78" s="36"/>
      <c r="I78" s="36"/>
      <c r="K78" s="36"/>
      <c r="L78" s="80"/>
      <c r="M78" s="84"/>
      <c r="N78" s="84"/>
      <c r="O78" s="84"/>
      <c r="P78" s="84"/>
      <c r="Q78" s="36"/>
      <c r="R78" s="36"/>
    </row>
    <row r="79" spans="2:18" s="40" customFormat="1" x14ac:dyDescent="0.2">
      <c r="B79" s="36"/>
      <c r="C79" s="80"/>
      <c r="D79" s="84"/>
      <c r="E79" s="84"/>
      <c r="F79" s="84"/>
      <c r="G79" s="84"/>
      <c r="H79" s="36"/>
      <c r="I79" s="36"/>
      <c r="K79" s="36"/>
      <c r="L79" s="80"/>
      <c r="M79" s="84"/>
      <c r="N79" s="84"/>
      <c r="O79" s="84"/>
      <c r="P79" s="84"/>
      <c r="Q79" s="36"/>
      <c r="R79" s="36"/>
    </row>
    <row r="80" spans="2:18" s="40" customFormat="1" x14ac:dyDescent="0.2">
      <c r="B80" s="36"/>
      <c r="C80" s="80"/>
      <c r="D80" s="84"/>
      <c r="E80" s="84"/>
      <c r="F80" s="84"/>
      <c r="G80" s="84"/>
      <c r="H80" s="36"/>
      <c r="I80" s="36"/>
      <c r="K80" s="36"/>
      <c r="L80" s="80"/>
      <c r="M80" s="84"/>
      <c r="N80" s="84"/>
      <c r="O80" s="84"/>
      <c r="P80" s="84"/>
      <c r="Q80" s="36"/>
      <c r="R80" s="36"/>
    </row>
    <row r="81" spans="2:18" s="40" customFormat="1" x14ac:dyDescent="0.2">
      <c r="B81" s="36"/>
      <c r="C81" s="80"/>
      <c r="D81" s="84"/>
      <c r="E81" s="84"/>
      <c r="F81" s="84"/>
      <c r="G81" s="84"/>
      <c r="H81" s="36"/>
      <c r="I81" s="36"/>
      <c r="K81" s="36"/>
      <c r="L81" s="80"/>
      <c r="M81" s="84"/>
      <c r="N81" s="84"/>
      <c r="O81" s="84"/>
      <c r="P81" s="84"/>
      <c r="Q81" s="36"/>
      <c r="R81" s="36"/>
    </row>
    <row r="82" spans="2:18" s="40" customFormat="1" ht="13.5" customHeight="1" x14ac:dyDescent="0.2">
      <c r="B82" s="36"/>
      <c r="C82" s="80"/>
      <c r="D82" s="84"/>
      <c r="E82" s="84"/>
      <c r="F82" s="84"/>
      <c r="G82" s="84"/>
      <c r="H82" s="36"/>
      <c r="I82" s="36"/>
      <c r="K82" s="36"/>
      <c r="L82" s="80"/>
      <c r="M82" s="84"/>
      <c r="N82" s="84"/>
      <c r="O82" s="84"/>
      <c r="P82" s="84"/>
      <c r="Q82" s="36"/>
      <c r="R82" s="36"/>
    </row>
    <row r="83" spans="2:18" s="40" customFormat="1" x14ac:dyDescent="0.2">
      <c r="B83" s="36"/>
      <c r="C83" s="80"/>
      <c r="D83" s="84"/>
      <c r="E83" s="84"/>
      <c r="F83" s="84"/>
      <c r="G83" s="84"/>
      <c r="H83" s="36"/>
      <c r="I83" s="36"/>
      <c r="K83" s="36"/>
      <c r="L83" s="80"/>
      <c r="M83" s="84"/>
      <c r="N83" s="84"/>
      <c r="O83" s="84"/>
      <c r="P83" s="84"/>
      <c r="Q83" s="36"/>
      <c r="R83" s="36"/>
    </row>
    <row r="84" spans="2:18" s="40" customFormat="1" x14ac:dyDescent="0.2">
      <c r="B84" s="36"/>
      <c r="C84" s="80"/>
      <c r="D84" s="84"/>
      <c r="E84" s="84"/>
      <c r="F84" s="84"/>
      <c r="G84" s="84"/>
      <c r="H84" s="36"/>
      <c r="I84" s="36"/>
      <c r="K84" s="36"/>
      <c r="L84" s="80"/>
      <c r="M84" s="84"/>
      <c r="N84" s="84"/>
      <c r="O84" s="84"/>
      <c r="P84" s="84"/>
      <c r="Q84" s="36"/>
      <c r="R84" s="36"/>
    </row>
    <row r="85" spans="2:18" s="40" customFormat="1" x14ac:dyDescent="0.2">
      <c r="B85" s="36"/>
      <c r="C85" s="80"/>
      <c r="D85" s="84"/>
      <c r="E85" s="84"/>
      <c r="F85" s="84"/>
      <c r="G85" s="84"/>
      <c r="H85" s="36"/>
      <c r="I85" s="36"/>
      <c r="K85" s="36"/>
      <c r="L85" s="80"/>
      <c r="M85" s="84"/>
      <c r="N85" s="84"/>
      <c r="O85" s="84"/>
      <c r="P85" s="84"/>
      <c r="Q85" s="36"/>
      <c r="R85" s="36"/>
    </row>
    <row r="86" spans="2:18" s="40" customFormat="1" x14ac:dyDescent="0.2">
      <c r="B86" s="36"/>
      <c r="C86" s="80"/>
      <c r="D86" s="84"/>
      <c r="E86" s="84"/>
      <c r="F86" s="84"/>
      <c r="G86" s="84"/>
      <c r="H86" s="36"/>
      <c r="I86" s="36"/>
      <c r="K86" s="36"/>
      <c r="L86" s="80"/>
      <c r="M86" s="84"/>
      <c r="N86" s="84"/>
      <c r="O86" s="84"/>
      <c r="P86" s="84"/>
      <c r="Q86" s="36"/>
      <c r="R86" s="36"/>
    </row>
    <row r="87" spans="2:18" s="40" customFormat="1" ht="14.25" customHeight="1" x14ac:dyDescent="0.2">
      <c r="B87" s="36"/>
      <c r="C87" s="80"/>
      <c r="D87" s="84"/>
      <c r="E87" s="84"/>
      <c r="F87" s="84"/>
      <c r="G87" s="84"/>
      <c r="H87" s="36"/>
      <c r="I87" s="36"/>
      <c r="K87" s="36"/>
      <c r="L87" s="80"/>
      <c r="M87" s="84"/>
      <c r="N87" s="84"/>
      <c r="O87" s="84"/>
      <c r="P87" s="84"/>
      <c r="Q87" s="36"/>
      <c r="R87" s="36"/>
    </row>
    <row r="88" spans="2:18" s="40" customFormat="1" x14ac:dyDescent="0.2">
      <c r="B88" s="36"/>
      <c r="C88" s="80"/>
      <c r="D88" s="84"/>
      <c r="E88" s="84"/>
      <c r="F88" s="84"/>
      <c r="G88" s="84"/>
      <c r="H88" s="36"/>
      <c r="I88" s="36"/>
      <c r="K88" s="36"/>
      <c r="L88" s="80"/>
      <c r="M88" s="84"/>
      <c r="N88" s="84"/>
      <c r="O88" s="84"/>
      <c r="P88" s="84"/>
      <c r="Q88" s="36"/>
      <c r="R88" s="36"/>
    </row>
    <row r="89" spans="2:18" s="40" customFormat="1" x14ac:dyDescent="0.2">
      <c r="B89" s="36"/>
      <c r="C89" s="80"/>
      <c r="D89" s="84"/>
      <c r="E89" s="84"/>
      <c r="F89" s="84"/>
      <c r="G89" s="84"/>
      <c r="H89" s="36"/>
      <c r="I89" s="36"/>
      <c r="K89" s="36"/>
      <c r="L89" s="80"/>
      <c r="M89" s="84"/>
      <c r="N89" s="84"/>
      <c r="O89" s="84"/>
      <c r="P89" s="84"/>
      <c r="Q89" s="36"/>
      <c r="R89" s="36"/>
    </row>
    <row r="90" spans="2:18" s="40" customFormat="1" x14ac:dyDescent="0.2">
      <c r="B90" s="36"/>
      <c r="C90" s="80"/>
      <c r="D90" s="84"/>
      <c r="E90" s="84"/>
      <c r="F90" s="84"/>
      <c r="G90" s="84"/>
      <c r="H90" s="36"/>
      <c r="I90" s="36"/>
      <c r="K90" s="36"/>
      <c r="L90" s="80"/>
      <c r="M90" s="84"/>
      <c r="N90" s="84"/>
      <c r="O90" s="84"/>
      <c r="P90" s="84"/>
      <c r="Q90" s="36"/>
      <c r="R90" s="36"/>
    </row>
    <row r="91" spans="2:18" s="40" customFormat="1" x14ac:dyDescent="0.2">
      <c r="B91" s="36"/>
      <c r="C91" s="80"/>
      <c r="D91" s="84"/>
      <c r="E91" s="84"/>
      <c r="F91" s="84"/>
      <c r="G91" s="84"/>
      <c r="H91" s="36"/>
      <c r="I91" s="36"/>
      <c r="K91" s="36"/>
      <c r="L91" s="80"/>
      <c r="M91" s="84"/>
      <c r="N91" s="84"/>
      <c r="O91" s="84"/>
      <c r="P91" s="84"/>
      <c r="Q91" s="36"/>
      <c r="R91" s="36"/>
    </row>
    <row r="92" spans="2:18" s="40" customFormat="1" x14ac:dyDescent="0.2">
      <c r="B92" s="36"/>
      <c r="C92" s="80"/>
      <c r="D92" s="84"/>
      <c r="E92" s="84"/>
      <c r="F92" s="84"/>
      <c r="G92" s="84"/>
      <c r="H92" s="36"/>
      <c r="I92" s="36"/>
      <c r="K92" s="36"/>
      <c r="L92" s="80"/>
      <c r="M92" s="84"/>
      <c r="N92" s="84"/>
      <c r="O92" s="84"/>
      <c r="P92" s="84"/>
      <c r="Q92" s="36"/>
      <c r="R92" s="36"/>
    </row>
    <row r="93" spans="2:18" s="40" customFormat="1" x14ac:dyDescent="0.2">
      <c r="B93" s="36"/>
      <c r="C93" s="80"/>
      <c r="D93" s="84"/>
      <c r="E93" s="84"/>
      <c r="F93" s="84"/>
      <c r="G93" s="84"/>
      <c r="H93" s="36"/>
      <c r="I93" s="36"/>
      <c r="K93" s="36"/>
      <c r="L93" s="80"/>
      <c r="M93" s="84"/>
      <c r="N93" s="84"/>
      <c r="O93" s="84"/>
      <c r="P93" s="84"/>
      <c r="Q93" s="36"/>
      <c r="R93" s="36"/>
    </row>
    <row r="94" spans="2:18" s="40" customFormat="1" x14ac:dyDescent="0.2">
      <c r="B94" s="36"/>
      <c r="C94" s="80"/>
      <c r="D94" s="84"/>
      <c r="E94" s="84"/>
      <c r="F94" s="84"/>
      <c r="G94" s="84"/>
      <c r="H94" s="36"/>
      <c r="I94" s="36"/>
      <c r="K94" s="36"/>
      <c r="L94" s="80"/>
      <c r="M94" s="84"/>
      <c r="N94" s="84"/>
      <c r="O94" s="84"/>
      <c r="P94" s="84"/>
      <c r="Q94" s="36"/>
      <c r="R94" s="36"/>
    </row>
    <row r="95" spans="2:18" s="40" customFormat="1" x14ac:dyDescent="0.2">
      <c r="B95" s="36"/>
      <c r="C95" s="80"/>
      <c r="D95" s="84"/>
      <c r="E95" s="84"/>
      <c r="F95" s="84"/>
      <c r="G95" s="84"/>
      <c r="H95" s="36"/>
      <c r="I95" s="36"/>
      <c r="K95" s="36"/>
      <c r="L95" s="80"/>
      <c r="M95" s="84"/>
      <c r="N95" s="84"/>
      <c r="O95" s="84"/>
      <c r="P95" s="84"/>
      <c r="Q95" s="36"/>
      <c r="R95" s="36"/>
    </row>
    <row r="96" spans="2:18" s="40" customFormat="1" x14ac:dyDescent="0.2">
      <c r="B96" s="36"/>
      <c r="C96" s="80"/>
      <c r="D96" s="84"/>
      <c r="E96" s="84"/>
      <c r="F96" s="84"/>
      <c r="G96" s="84"/>
      <c r="H96" s="36"/>
      <c r="I96" s="36"/>
      <c r="K96" s="36"/>
      <c r="L96" s="80"/>
      <c r="M96" s="84"/>
      <c r="N96" s="84"/>
      <c r="O96" s="84"/>
      <c r="P96" s="84"/>
      <c r="Q96" s="36"/>
      <c r="R96" s="36"/>
    </row>
    <row r="97" spans="1:18" s="40" customFormat="1" x14ac:dyDescent="0.2">
      <c r="B97" s="36"/>
      <c r="C97" s="80"/>
      <c r="D97" s="84"/>
      <c r="E97" s="84"/>
      <c r="F97" s="84"/>
      <c r="G97" s="84"/>
      <c r="H97" s="36"/>
      <c r="I97" s="36"/>
      <c r="K97" s="36"/>
      <c r="L97" s="80"/>
      <c r="M97" s="84"/>
      <c r="N97" s="84"/>
      <c r="O97" s="84"/>
      <c r="P97" s="84"/>
      <c r="Q97" s="36"/>
      <c r="R97" s="36"/>
    </row>
    <row r="98" spans="1:18" s="40" customFormat="1" x14ac:dyDescent="0.2">
      <c r="B98" s="36"/>
      <c r="C98" s="80"/>
      <c r="D98" s="84"/>
      <c r="E98" s="84"/>
      <c r="F98" s="84"/>
      <c r="G98" s="84"/>
      <c r="H98" s="36"/>
      <c r="I98" s="36"/>
      <c r="K98" s="36"/>
      <c r="L98" s="80"/>
      <c r="M98" s="84"/>
      <c r="N98" s="84"/>
      <c r="O98" s="84"/>
      <c r="P98" s="84"/>
      <c r="Q98" s="36"/>
      <c r="R98" s="36"/>
    </row>
    <row r="99" spans="1:18" s="40" customFormat="1" ht="16" thickBot="1" x14ac:dyDescent="0.25">
      <c r="B99" s="37"/>
      <c r="C99" s="81"/>
      <c r="D99" s="85"/>
      <c r="E99" s="85"/>
      <c r="F99" s="85"/>
      <c r="G99" s="85"/>
      <c r="H99" s="37"/>
      <c r="I99" s="37"/>
      <c r="K99" s="37"/>
      <c r="L99" s="81"/>
      <c r="M99" s="85"/>
      <c r="N99" s="85"/>
      <c r="O99" s="85"/>
      <c r="P99" s="85"/>
      <c r="Q99" s="37"/>
      <c r="R99" s="37"/>
    </row>
    <row r="101" spans="1:18" ht="15" customHeight="1" x14ac:dyDescent="0.2">
      <c r="B101" s="29" t="s">
        <v>101</v>
      </c>
    </row>
    <row r="102" spans="1:18" x14ac:dyDescent="0.2">
      <c r="A102" s="11"/>
      <c r="B102" s="11"/>
      <c r="C102" s="11"/>
      <c r="D102" s="11"/>
      <c r="E102" s="11"/>
      <c r="F102" s="11"/>
    </row>
    <row r="103" spans="1:18" x14ac:dyDescent="0.2">
      <c r="B103" s="11"/>
      <c r="C103" s="11"/>
      <c r="D103" s="11"/>
      <c r="E103" s="11"/>
      <c r="F103" s="11"/>
    </row>
    <row r="104" spans="1:18" x14ac:dyDescent="0.2">
      <c r="I104" s="13"/>
      <c r="J104" s="13"/>
    </row>
    <row r="105" spans="1:18" ht="16" x14ac:dyDescent="0.2">
      <c r="B105" s="29" t="s">
        <v>11</v>
      </c>
      <c r="I105" s="13"/>
      <c r="J105" s="13"/>
    </row>
    <row r="106" spans="1:18" ht="15" customHeight="1" x14ac:dyDescent="0.2">
      <c r="A106" s="3"/>
      <c r="B106" s="168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70"/>
    </row>
    <row r="107" spans="1:18" ht="15" customHeight="1" x14ac:dyDescent="0.2">
      <c r="A107" s="3"/>
      <c r="B107" s="171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3"/>
    </row>
    <row r="108" spans="1:18" ht="15" customHeight="1" x14ac:dyDescent="0.2">
      <c r="A108" s="3"/>
      <c r="B108" s="171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3"/>
    </row>
    <row r="109" spans="1:18" ht="15" customHeight="1" x14ac:dyDescent="0.2">
      <c r="A109" s="3"/>
      <c r="B109" s="171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3"/>
    </row>
    <row r="110" spans="1:18" ht="15" customHeight="1" x14ac:dyDescent="0.2">
      <c r="A110" s="3"/>
      <c r="B110" s="171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3"/>
    </row>
    <row r="111" spans="1:18" ht="15" customHeight="1" x14ac:dyDescent="0.2">
      <c r="A111" s="3"/>
      <c r="B111" s="171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3"/>
    </row>
    <row r="112" spans="1:18" ht="15" customHeight="1" x14ac:dyDescent="0.2">
      <c r="A112" s="3"/>
      <c r="B112" s="171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3"/>
    </row>
    <row r="113" spans="1:13" ht="15" customHeight="1" x14ac:dyDescent="0.2">
      <c r="A113" s="3"/>
      <c r="B113" s="171"/>
      <c r="C113" s="172"/>
      <c r="D113" s="172"/>
      <c r="E113" s="172"/>
      <c r="F113" s="172"/>
      <c r="G113" s="172"/>
      <c r="H113" s="172"/>
      <c r="I113" s="172"/>
      <c r="J113" s="172"/>
      <c r="K113" s="172"/>
      <c r="L113" s="172"/>
      <c r="M113" s="173"/>
    </row>
    <row r="114" spans="1:13" ht="15" customHeight="1" x14ac:dyDescent="0.2">
      <c r="A114" s="3"/>
      <c r="B114" s="171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3"/>
    </row>
    <row r="115" spans="1:13" ht="15" customHeight="1" x14ac:dyDescent="0.2">
      <c r="A115" s="3"/>
      <c r="B115" s="171"/>
      <c r="C115" s="172"/>
      <c r="D115" s="172"/>
      <c r="E115" s="172"/>
      <c r="F115" s="172"/>
      <c r="G115" s="172"/>
      <c r="H115" s="172"/>
      <c r="I115" s="172"/>
      <c r="J115" s="172"/>
      <c r="K115" s="172"/>
      <c r="L115" s="172"/>
      <c r="M115" s="173"/>
    </row>
    <row r="116" spans="1:13" ht="15.75" customHeight="1" thickBot="1" x14ac:dyDescent="0.25">
      <c r="A116" s="3"/>
      <c r="B116" s="174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6"/>
    </row>
    <row r="117" spans="1:13" x14ac:dyDescent="0.2">
      <c r="B117" s="43" t="s">
        <v>110</v>
      </c>
    </row>
    <row r="119" spans="1:13" ht="16" x14ac:dyDescent="0.2">
      <c r="B119" s="31" t="s">
        <v>82</v>
      </c>
    </row>
    <row r="123" spans="1:13" x14ac:dyDescent="0.2">
      <c r="B123" s="46" t="s">
        <v>112</v>
      </c>
    </row>
    <row r="124" spans="1:13" x14ac:dyDescent="0.2">
      <c r="B124" s="45"/>
    </row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</sheetData>
  <sheetProtection insertRows="0" selectLockedCells="1"/>
  <mergeCells count="16">
    <mergeCell ref="B6:P6"/>
    <mergeCell ref="P11:P12"/>
    <mergeCell ref="Q11:R11"/>
    <mergeCell ref="B106:M116"/>
    <mergeCell ref="H11:I11"/>
    <mergeCell ref="K11:K12"/>
    <mergeCell ref="L11:L12"/>
    <mergeCell ref="M11:M12"/>
    <mergeCell ref="N11:N12"/>
    <mergeCell ref="O11:O12"/>
    <mergeCell ref="B11:B12"/>
    <mergeCell ref="C11:C12"/>
    <mergeCell ref="D11:D12"/>
    <mergeCell ref="E11:E12"/>
    <mergeCell ref="F11:F12"/>
    <mergeCell ref="G11:G12"/>
  </mergeCells>
  <conditionalFormatting sqref="H13:I99">
    <cfRule type="expression" dxfId="10" priority="87">
      <formula>#REF!=FALSE</formula>
    </cfRule>
    <cfRule type="expression" dxfId="9" priority="88">
      <formula>#REF!=TRUE</formula>
    </cfRule>
  </conditionalFormatting>
  <conditionalFormatting sqref="I13:I99">
    <cfRule type="expression" dxfId="8" priority="79">
      <formula>#REF!=FALSE</formula>
    </cfRule>
  </conditionalFormatting>
  <conditionalFormatting sqref="Q13:R99">
    <cfRule type="expression" dxfId="7" priority="80">
      <formula>#REF!=FALSE</formula>
    </cfRule>
    <cfRule type="expression" dxfId="6" priority="81">
      <formula>#REF!=TRUE</formula>
    </cfRule>
  </conditionalFormatting>
  <conditionalFormatting sqref="R13:R99">
    <cfRule type="expression" dxfId="5" priority="82">
      <formula>#REF!=FALSE</formula>
    </cfRule>
  </conditionalFormatting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dvAspect="DVASPECT_ICON" shapeId="12289" r:id="rId4">
          <objectPr locked="0" defaultSize="0" autoPict="0" r:id="rId5">
            <anchor moveWithCells="1">
              <from>
                <xdr:col>4</xdr:col>
                <xdr:colOff>1320800</xdr:colOff>
                <xdr:row>99</xdr:row>
                <xdr:rowOff>177800</xdr:rowOff>
              </from>
              <to>
                <xdr:col>5</xdr:col>
                <xdr:colOff>520700</xdr:colOff>
                <xdr:row>102</xdr:row>
                <xdr:rowOff>165100</xdr:rowOff>
              </to>
            </anchor>
          </objectPr>
        </oleObject>
      </mc:Choice>
      <mc:Fallback>
        <oleObject progId="Paint.Picture" dvAspect="DVASPECT_ICON" shapeId="12289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check!$B$16:$B$17</xm:f>
          </x14:formula1>
          <xm:sqref>G103</xm:sqref>
        </x14:dataValidation>
        <x14:dataValidation type="list" allowBlank="1" showInputMessage="1" showErrorMessage="1" xr:uid="{00000000-0002-0000-0400-000001000000}">
          <x14:formula1>
            <xm:f>check!$D$32:$D$33</xm:f>
          </x14:formula1>
          <xm:sqref>D13:D99 M13:M99</xm:sqref>
        </x14:dataValidation>
        <x14:dataValidation type="list" allowBlank="1" showInputMessage="1" showErrorMessage="1" xr:uid="{00000000-0002-0000-0400-000002000000}">
          <x14:formula1>
            <xm:f>check!$F$18:$F$19</xm:f>
          </x14:formula1>
          <xm:sqref>G13:G99 P13:P99</xm:sqref>
        </x14:dataValidation>
        <x14:dataValidation type="list" allowBlank="1" showInputMessage="1" showErrorMessage="1" xr:uid="{00000000-0002-0000-0400-000003000000}">
          <x14:formula1>
            <xm:f>check!$D$12:$D$19</xm:f>
          </x14:formula1>
          <xm:sqref>E13:E99 N13:N99</xm:sqref>
        </x14:dataValidation>
        <x14:dataValidation type="list" allowBlank="1" showInputMessage="1" showErrorMessage="1" xr:uid="{00000000-0002-0000-0400-000004000000}">
          <x14:formula1>
            <xm:f>check!$D$23:$D$29</xm:f>
          </x14:formula1>
          <xm:sqref>F13:F99 O13:O99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2"/>
  <sheetViews>
    <sheetView showGridLines="0" zoomScaleNormal="100" workbookViewId="0"/>
  </sheetViews>
  <sheetFormatPr baseColWidth="10" defaultColWidth="0" defaultRowHeight="15" customHeight="1" zeroHeight="1" x14ac:dyDescent="0.2"/>
  <cols>
    <col min="1" max="1" width="5" customWidth="1"/>
    <col min="2" max="2" width="16.1640625" customWidth="1"/>
    <col min="3" max="3" width="17.1640625" customWidth="1"/>
    <col min="4" max="4" width="5.83203125" customWidth="1"/>
    <col min="5" max="5" width="15.33203125" customWidth="1"/>
    <col min="6" max="6" width="14.5" customWidth="1"/>
    <col min="7" max="7" width="8.83203125" customWidth="1"/>
    <col min="8" max="9" width="14.5" customWidth="1"/>
    <col min="10" max="10" width="8" customWidth="1"/>
    <col min="11" max="11" width="16.83203125" customWidth="1"/>
    <col min="12" max="15" width="14.5" customWidth="1"/>
    <col min="16" max="16" width="1.6640625" customWidth="1"/>
    <col min="17" max="16384" width="11.5" hidden="1"/>
  </cols>
  <sheetData>
    <row r="1" spans="1:15" x14ac:dyDescent="0.2"/>
    <row r="2" spans="1:15" x14ac:dyDescent="0.2"/>
    <row r="3" spans="1:15" ht="29.25" customHeight="1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26.25" customHeight="1" x14ac:dyDescent="0.3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ht="26.25" customHeight="1" x14ac:dyDescent="0.2">
      <c r="B5" s="119" t="s">
        <v>9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</row>
    <row r="6" spans="1:15" ht="26.25" customHeight="1" x14ac:dyDescent="0.2">
      <c r="B6" s="3"/>
      <c r="C6" s="3"/>
      <c r="D6" s="3"/>
      <c r="E6" s="3"/>
      <c r="G6" s="3"/>
      <c r="H6" s="3"/>
      <c r="I6" s="3"/>
      <c r="J6" s="3"/>
      <c r="L6" s="3"/>
      <c r="M6" s="3"/>
      <c r="N6" s="3"/>
      <c r="O6" s="3"/>
    </row>
    <row r="7" spans="1:15" ht="26.25" customHeight="1" x14ac:dyDescent="0.2">
      <c r="B7" s="30" t="s">
        <v>83</v>
      </c>
      <c r="C7" s="30"/>
      <c r="D7" s="13"/>
      <c r="E7" s="30" t="s">
        <v>85</v>
      </c>
      <c r="F7" s="30"/>
      <c r="G7" s="13"/>
      <c r="H7" s="30" t="s">
        <v>109</v>
      </c>
      <c r="I7" s="30"/>
      <c r="J7" s="13"/>
      <c r="K7" s="30" t="s">
        <v>176</v>
      </c>
      <c r="L7" s="30"/>
    </row>
    <row r="8" spans="1:15" ht="26.25" customHeight="1" thickBot="1" x14ac:dyDescent="0.25">
      <c r="B8" s="120"/>
      <c r="C8" s="121"/>
      <c r="D8" s="17"/>
      <c r="E8" s="120"/>
      <c r="F8" s="121"/>
      <c r="G8" s="25"/>
      <c r="H8" s="120"/>
      <c r="I8" s="121"/>
      <c r="J8" s="17"/>
      <c r="K8" s="120"/>
      <c r="L8" s="121"/>
    </row>
    <row r="9" spans="1:15" ht="26.25" customHeight="1" x14ac:dyDescent="0.2">
      <c r="B9" s="30" t="s">
        <v>84</v>
      </c>
      <c r="C9" s="30"/>
      <c r="D9" s="13"/>
      <c r="E9" s="30" t="s">
        <v>86</v>
      </c>
      <c r="F9" s="30"/>
      <c r="G9" s="13"/>
      <c r="H9" s="47" t="s">
        <v>43</v>
      </c>
      <c r="I9" s="30"/>
      <c r="J9" s="13"/>
      <c r="K9" s="30" t="s">
        <v>3</v>
      </c>
      <c r="L9" s="30"/>
    </row>
    <row r="10" spans="1:15" ht="26.25" customHeight="1" thickBot="1" x14ac:dyDescent="0.25">
      <c r="B10" s="120"/>
      <c r="C10" s="121"/>
      <c r="D10" s="17"/>
      <c r="E10" s="120"/>
      <c r="F10" s="121"/>
      <c r="G10" s="17"/>
      <c r="H10" s="120"/>
      <c r="I10" s="121"/>
      <c r="J10" s="17"/>
      <c r="K10" s="122"/>
      <c r="L10" s="123"/>
      <c r="M10" s="3"/>
      <c r="N10" s="3"/>
      <c r="O10" s="3"/>
    </row>
    <row r="11" spans="1:15" ht="26.25" customHeight="1" x14ac:dyDescent="0.2">
      <c r="B11" s="39"/>
      <c r="C11" s="39"/>
      <c r="D11" s="17"/>
      <c r="E11" s="39"/>
      <c r="F11" s="39"/>
      <c r="G11" s="17"/>
      <c r="H11" s="39"/>
      <c r="I11" s="39"/>
      <c r="J11" s="17"/>
      <c r="K11" s="38"/>
      <c r="L11" s="3"/>
      <c r="M11" s="3"/>
      <c r="N11" s="3"/>
      <c r="O11" s="3"/>
    </row>
    <row r="12" spans="1:15" ht="26.25" customHeight="1" x14ac:dyDescent="0.2">
      <c r="B12" s="190" t="s">
        <v>149</v>
      </c>
      <c r="C12" s="190"/>
      <c r="D12" s="13"/>
      <c r="E12" s="13"/>
      <c r="F12" s="13"/>
      <c r="G12" s="13"/>
      <c r="H12" s="13"/>
      <c r="I12" s="13"/>
    </row>
    <row r="13" spans="1:15" ht="26.25" customHeight="1" thickBot="1" x14ac:dyDescent="0.25">
      <c r="B13" s="126"/>
      <c r="C13" s="127"/>
      <c r="D13" s="128"/>
      <c r="E13" s="128"/>
      <c r="F13" s="128"/>
      <c r="G13" s="128"/>
      <c r="H13" s="121"/>
      <c r="I13" s="17"/>
      <c r="M13" s="3"/>
    </row>
    <row r="14" spans="1:15" ht="26.25" customHeight="1" x14ac:dyDescent="0.2">
      <c r="L14" s="12"/>
      <c r="M14" s="12"/>
    </row>
    <row r="15" spans="1:15" ht="26.25" customHeight="1" x14ac:dyDescent="0.2">
      <c r="B15" s="119" t="s">
        <v>29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</row>
    <row r="16" spans="1:15" s="41" customFormat="1" ht="26.25" customHeight="1" x14ac:dyDescent="0.2">
      <c r="A16"/>
      <c r="B16"/>
      <c r="C16"/>
      <c r="D16"/>
      <c r="E16"/>
      <c r="F16"/>
      <c r="G16"/>
      <c r="J16"/>
      <c r="K16"/>
      <c r="L16"/>
      <c r="M16"/>
      <c r="N16"/>
      <c r="O16"/>
    </row>
    <row r="17" spans="1:15" s="41" customFormat="1" ht="26.25" customHeight="1" x14ac:dyDescent="0.2">
      <c r="A17"/>
      <c r="B17" s="74" t="s">
        <v>166</v>
      </c>
      <c r="C17" s="30"/>
      <c r="D17"/>
      <c r="E17"/>
      <c r="F17"/>
      <c r="G17"/>
      <c r="J17"/>
      <c r="K17"/>
      <c r="L17"/>
      <c r="M17"/>
      <c r="N17"/>
      <c r="O17"/>
    </row>
    <row r="18" spans="1:15" s="41" customFormat="1" ht="26.25" customHeight="1" thickBot="1" x14ac:dyDescent="0.25">
      <c r="A18"/>
      <c r="B18" s="75"/>
      <c r="C18"/>
      <c r="D18"/>
      <c r="E18"/>
      <c r="F18"/>
      <c r="G18"/>
      <c r="J18"/>
      <c r="K18"/>
      <c r="L18"/>
      <c r="M18"/>
      <c r="N18"/>
      <c r="O18"/>
    </row>
    <row r="19" spans="1:15" s="41" customFormat="1" ht="36" customHeight="1" x14ac:dyDescent="0.2">
      <c r="A19"/>
      <c r="B19" s="30" t="s">
        <v>167</v>
      </c>
      <c r="E19" s="30" t="s">
        <v>47</v>
      </c>
      <c r="F19" s="21"/>
      <c r="H19" s="145" t="str">
        <f>IF(B20="Otros","Indicar tipo de documento","")</f>
        <v/>
      </c>
      <c r="I19" s="145"/>
      <c r="M19"/>
      <c r="N19"/>
      <c r="O19"/>
    </row>
    <row r="20" spans="1:15" s="41" customFormat="1" ht="26.25" customHeight="1" thickBot="1" x14ac:dyDescent="0.25">
      <c r="A20"/>
      <c r="B20" s="137"/>
      <c r="C20" s="138"/>
      <c r="E20" s="141"/>
      <c r="F20" s="142"/>
      <c r="H20" s="133"/>
      <c r="I20" s="134"/>
      <c r="K20" s="88" t="str">
        <f>IF(B20="Otros","CI extranjera, pasaporte, BPS, etc.","")</f>
        <v/>
      </c>
      <c r="M20" s="16"/>
      <c r="N20"/>
      <c r="O20"/>
    </row>
    <row r="21" spans="1:15" ht="26.25" customHeight="1" x14ac:dyDescent="0.2">
      <c r="B21" s="61" t="str">
        <f>IF(B20="RUT","Razón Social","Nombre y apellido")</f>
        <v>Nombre y apellido</v>
      </c>
      <c r="C21" s="61"/>
      <c r="E21" s="30" t="s">
        <v>45</v>
      </c>
      <c r="F21" s="30"/>
      <c r="G21" s="21"/>
      <c r="H21" s="30" t="s">
        <v>46</v>
      </c>
      <c r="I21" s="30"/>
      <c r="J21" s="15"/>
      <c r="L21" s="15"/>
      <c r="M21" s="15"/>
    </row>
    <row r="22" spans="1:15" ht="26.25" customHeight="1" thickBot="1" x14ac:dyDescent="0.25">
      <c r="B22" s="143"/>
      <c r="C22" s="144"/>
      <c r="E22" s="133"/>
      <c r="F22" s="134"/>
      <c r="G22" s="21"/>
      <c r="H22" s="146"/>
      <c r="I22" s="147"/>
      <c r="L22" s="16"/>
      <c r="M22" s="16"/>
    </row>
    <row r="23" spans="1:15" ht="26.25" customHeight="1" x14ac:dyDescent="0.2">
      <c r="B23" s="22"/>
      <c r="C23" s="22"/>
      <c r="D23" s="21"/>
      <c r="E23" s="21"/>
      <c r="F23" s="21"/>
      <c r="G23" s="19"/>
      <c r="H23" s="19"/>
      <c r="I23" s="21"/>
      <c r="L23" s="16"/>
      <c r="M23" s="16"/>
    </row>
    <row r="24" spans="1:15" x14ac:dyDescent="0.2"/>
    <row r="25" spans="1:15" x14ac:dyDescent="0.2">
      <c r="J25" s="13"/>
      <c r="K25" s="13"/>
    </row>
    <row r="26" spans="1:15" ht="16" x14ac:dyDescent="0.2">
      <c r="B26" s="29" t="s">
        <v>11</v>
      </c>
      <c r="C26" s="29"/>
      <c r="D26" s="107"/>
      <c r="E26" s="107"/>
      <c r="F26" s="107"/>
      <c r="G26" s="107"/>
      <c r="H26" s="107"/>
      <c r="I26" s="107"/>
      <c r="J26" s="118"/>
      <c r="K26" s="118"/>
    </row>
    <row r="27" spans="1:15" x14ac:dyDescent="0.2">
      <c r="B27" s="157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</row>
    <row r="28" spans="1:15" x14ac:dyDescent="0.2"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2"/>
    </row>
    <row r="29" spans="1:15" x14ac:dyDescent="0.2"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2"/>
    </row>
    <row r="30" spans="1:15" x14ac:dyDescent="0.2"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2"/>
    </row>
    <row r="31" spans="1:15" x14ac:dyDescent="0.2"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2"/>
    </row>
    <row r="32" spans="1:15" x14ac:dyDescent="0.2"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2"/>
    </row>
    <row r="33" spans="2:13" x14ac:dyDescent="0.2"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2"/>
    </row>
    <row r="34" spans="2:13" x14ac:dyDescent="0.2"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2"/>
    </row>
    <row r="35" spans="2:13" x14ac:dyDescent="0.2"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2"/>
    </row>
    <row r="36" spans="2:13" x14ac:dyDescent="0.2"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2"/>
    </row>
    <row r="37" spans="2:13" ht="16" thickBot="1" x14ac:dyDescent="0.25">
      <c r="B37" s="163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5"/>
    </row>
    <row r="38" spans="2:13" ht="15" customHeight="1" x14ac:dyDescent="0.2">
      <c r="B38" s="43" t="s">
        <v>110</v>
      </c>
      <c r="C38" s="44"/>
      <c r="D38" s="43"/>
      <c r="E38" s="43"/>
      <c r="F38" s="43"/>
      <c r="G38" s="43"/>
      <c r="H38" s="43"/>
      <c r="I38" s="43"/>
      <c r="J38" s="43"/>
      <c r="K38" s="43"/>
    </row>
    <row r="39" spans="2:13" x14ac:dyDescent="0.2">
      <c r="B39" s="107"/>
      <c r="C39" s="107"/>
      <c r="D39" s="107"/>
      <c r="E39" s="107"/>
      <c r="F39" s="107"/>
      <c r="G39" s="107"/>
      <c r="H39" s="107"/>
      <c r="I39" s="107"/>
      <c r="J39" s="107"/>
      <c r="K39" s="107"/>
    </row>
    <row r="40" spans="2:13" ht="15" customHeight="1" x14ac:dyDescent="0.2">
      <c r="B40" s="29" t="s">
        <v>82</v>
      </c>
      <c r="C40" s="29"/>
      <c r="D40" s="29"/>
      <c r="E40" s="29"/>
      <c r="F40" s="29"/>
      <c r="G40" s="29"/>
      <c r="H40" s="107"/>
      <c r="I40" s="107"/>
      <c r="J40" s="107"/>
      <c r="K40" s="107"/>
    </row>
    <row r="41" spans="2:13" x14ac:dyDescent="0.2">
      <c r="B41" s="107"/>
      <c r="C41" s="107"/>
      <c r="D41" s="107"/>
      <c r="E41" s="107"/>
      <c r="F41" s="107"/>
      <c r="G41" s="107"/>
      <c r="H41" s="107"/>
      <c r="I41" s="107"/>
      <c r="J41" s="107"/>
      <c r="K41" s="107"/>
    </row>
    <row r="42" spans="2:13" x14ac:dyDescent="0.2">
      <c r="B42" s="107"/>
      <c r="C42" s="107"/>
      <c r="D42" s="107"/>
      <c r="E42" s="107"/>
      <c r="F42" s="107"/>
      <c r="G42" s="107"/>
      <c r="H42" s="107"/>
      <c r="I42" s="107"/>
      <c r="J42" s="107"/>
      <c r="K42" s="107"/>
    </row>
    <row r="43" spans="2:13" x14ac:dyDescent="0.2">
      <c r="B43" s="107"/>
      <c r="C43" s="107"/>
      <c r="D43" s="107"/>
      <c r="E43" s="107"/>
      <c r="F43" s="107"/>
      <c r="G43" s="107"/>
      <c r="H43" s="107"/>
      <c r="I43" s="107"/>
      <c r="J43" s="107"/>
      <c r="K43" s="107"/>
    </row>
    <row r="44" spans="2:13" x14ac:dyDescent="0.2">
      <c r="B44" s="107"/>
      <c r="C44" s="107"/>
      <c r="D44" s="107"/>
      <c r="E44" s="107"/>
      <c r="F44" s="107"/>
      <c r="G44" s="107"/>
      <c r="H44" s="107"/>
      <c r="I44" s="107"/>
      <c r="J44" s="107"/>
      <c r="K44" s="107"/>
    </row>
    <row r="45" spans="2:13" x14ac:dyDescent="0.2">
      <c r="B45" s="166" t="s">
        <v>113</v>
      </c>
      <c r="C45" s="166"/>
      <c r="D45" s="107"/>
      <c r="E45" s="107"/>
      <c r="F45" s="107"/>
      <c r="G45" s="107"/>
      <c r="H45" s="107"/>
      <c r="I45" s="107"/>
      <c r="J45" s="107"/>
      <c r="K45" s="107"/>
    </row>
    <row r="46" spans="2:13" x14ac:dyDescent="0.2">
      <c r="B46" s="107"/>
      <c r="C46" s="107"/>
      <c r="D46" s="107"/>
      <c r="E46" s="107"/>
      <c r="F46" s="107"/>
      <c r="G46" s="107"/>
      <c r="H46" s="107"/>
      <c r="I46" s="107"/>
      <c r="J46" s="107"/>
      <c r="K46" s="107"/>
    </row>
    <row r="47" spans="2:13" x14ac:dyDescent="0.2">
      <c r="B47" s="107"/>
      <c r="C47" s="107"/>
      <c r="D47" s="107"/>
      <c r="E47" s="107"/>
      <c r="F47" s="107"/>
      <c r="G47" s="107"/>
      <c r="H47" s="107"/>
      <c r="I47" s="107"/>
      <c r="J47" s="107"/>
      <c r="K47" s="107"/>
    </row>
    <row r="48" spans="2:13" x14ac:dyDescent="0.2">
      <c r="B48" s="107"/>
      <c r="C48" s="107"/>
      <c r="D48" s="107"/>
      <c r="E48" s="107"/>
      <c r="F48" s="107"/>
      <c r="G48" s="107"/>
      <c r="H48" s="107"/>
      <c r="I48" s="107"/>
      <c r="J48" s="107"/>
      <c r="K48" s="107"/>
    </row>
    <row r="49" spans="2:11" x14ac:dyDescent="0.2">
      <c r="B49" s="107"/>
      <c r="C49" s="107"/>
      <c r="D49" s="107"/>
      <c r="E49" s="107"/>
      <c r="F49" s="107"/>
      <c r="G49" s="107"/>
      <c r="H49" s="107"/>
      <c r="I49" s="107"/>
      <c r="J49" s="107"/>
      <c r="K49" s="107"/>
    </row>
    <row r="50" spans="2:11" x14ac:dyDescent="0.2">
      <c r="B50" s="107"/>
      <c r="C50" s="107"/>
      <c r="D50" s="107"/>
      <c r="E50" s="107"/>
      <c r="F50" s="107"/>
      <c r="G50" s="107"/>
      <c r="H50" s="107"/>
      <c r="I50" s="107"/>
      <c r="J50" s="107"/>
      <c r="K50" s="107"/>
    </row>
    <row r="51" spans="2:11" x14ac:dyDescent="0.2">
      <c r="B51" s="107"/>
      <c r="C51" s="107"/>
      <c r="D51" s="107"/>
      <c r="E51" s="107"/>
      <c r="F51" s="107"/>
      <c r="G51" s="107"/>
      <c r="H51" s="107"/>
      <c r="I51" s="107"/>
      <c r="J51" s="107"/>
      <c r="K51" s="107"/>
    </row>
    <row r="52" spans="2:11" x14ac:dyDescent="0.2">
      <c r="B52" s="107"/>
      <c r="C52" s="107"/>
      <c r="D52" s="107"/>
      <c r="E52" s="107"/>
      <c r="F52" s="107"/>
      <c r="G52" s="107"/>
      <c r="H52" s="107"/>
      <c r="I52" s="107"/>
      <c r="J52" s="107"/>
      <c r="K52" s="107"/>
    </row>
    <row r="53" spans="2:11" x14ac:dyDescent="0.2">
      <c r="B53" s="107"/>
      <c r="C53" s="107"/>
      <c r="D53" s="107"/>
      <c r="E53" s="107"/>
      <c r="F53" s="107"/>
      <c r="G53" s="107"/>
      <c r="H53" s="107"/>
      <c r="I53" s="107"/>
      <c r="J53" s="107"/>
      <c r="K53" s="107"/>
    </row>
    <row r="54" spans="2:11" x14ac:dyDescent="0.2">
      <c r="B54" s="107"/>
      <c r="C54" s="107"/>
      <c r="D54" s="107"/>
      <c r="E54" s="107"/>
      <c r="F54" s="107"/>
      <c r="G54" s="107"/>
      <c r="H54" s="107"/>
      <c r="I54" s="107"/>
      <c r="J54" s="107"/>
      <c r="K54" s="107"/>
    </row>
    <row r="55" spans="2:11" x14ac:dyDescent="0.2">
      <c r="B55" s="107"/>
      <c r="C55" s="107"/>
      <c r="D55" s="107"/>
      <c r="E55" s="107"/>
      <c r="F55" s="107"/>
      <c r="G55" s="107"/>
      <c r="H55" s="107"/>
      <c r="I55" s="107"/>
      <c r="J55" s="107"/>
      <c r="K55" s="107"/>
    </row>
    <row r="56" spans="2:11" x14ac:dyDescent="0.2">
      <c r="B56" s="107"/>
      <c r="C56" s="107"/>
      <c r="D56" s="107"/>
      <c r="E56" s="107"/>
      <c r="F56" s="107"/>
      <c r="G56" s="107"/>
      <c r="H56" s="107"/>
      <c r="I56" s="107"/>
      <c r="J56" s="107"/>
      <c r="K56" s="107"/>
    </row>
    <row r="57" spans="2:11" x14ac:dyDescent="0.2">
      <c r="B57" s="107"/>
      <c r="C57" s="107"/>
      <c r="D57" s="107"/>
      <c r="E57" s="107"/>
      <c r="F57" s="107"/>
      <c r="G57" s="107"/>
      <c r="H57" s="107"/>
      <c r="I57" s="107"/>
      <c r="J57" s="107"/>
      <c r="K57" s="107"/>
    </row>
    <row r="58" spans="2:11" x14ac:dyDescent="0.2">
      <c r="B58" s="107"/>
      <c r="C58" s="107"/>
      <c r="D58" s="107"/>
      <c r="E58" s="107"/>
      <c r="F58" s="107"/>
      <c r="G58" s="107"/>
      <c r="H58" s="107"/>
      <c r="I58" s="107"/>
      <c r="J58" s="107"/>
      <c r="K58" s="107"/>
    </row>
    <row r="59" spans="2:11" x14ac:dyDescent="0.2">
      <c r="B59" s="107"/>
      <c r="C59" s="107"/>
      <c r="D59" s="107"/>
      <c r="E59" s="107"/>
      <c r="F59" s="107"/>
      <c r="G59" s="107"/>
      <c r="H59" s="107"/>
      <c r="I59" s="107"/>
      <c r="J59" s="107"/>
      <c r="K59" s="107"/>
    </row>
    <row r="60" spans="2:11" x14ac:dyDescent="0.2">
      <c r="B60" s="107"/>
      <c r="C60" s="107"/>
      <c r="D60" s="107"/>
      <c r="E60" s="107"/>
      <c r="F60" s="107"/>
      <c r="G60" s="107"/>
      <c r="H60" s="107"/>
      <c r="I60" s="107"/>
      <c r="J60" s="107"/>
      <c r="K60" s="107"/>
    </row>
    <row r="61" spans="2:11" x14ac:dyDescent="0.2">
      <c r="B61" s="107"/>
      <c r="C61" s="107"/>
      <c r="D61" s="107"/>
      <c r="E61" s="107"/>
      <c r="F61" s="107"/>
      <c r="G61" s="107"/>
      <c r="H61" s="107"/>
      <c r="I61" s="107"/>
      <c r="J61" s="107"/>
      <c r="K61" s="107"/>
    </row>
    <row r="62" spans="2:11" x14ac:dyDescent="0.2">
      <c r="B62" s="107"/>
      <c r="C62" s="107"/>
      <c r="D62" s="107"/>
      <c r="E62" s="107"/>
      <c r="F62" s="107"/>
      <c r="G62" s="107"/>
      <c r="H62" s="107"/>
      <c r="I62" s="107"/>
      <c r="J62" s="107"/>
      <c r="K62" s="107"/>
    </row>
    <row r="63" spans="2:11" x14ac:dyDescent="0.2">
      <c r="B63" s="107"/>
      <c r="C63" s="107"/>
      <c r="D63" s="107"/>
      <c r="E63" s="107"/>
      <c r="F63" s="107"/>
      <c r="G63" s="107"/>
      <c r="H63" s="107"/>
      <c r="I63" s="107"/>
      <c r="J63" s="107"/>
      <c r="K63" s="107"/>
    </row>
    <row r="64" spans="2:11" x14ac:dyDescent="0.2">
      <c r="B64" s="107"/>
      <c r="C64" s="107"/>
      <c r="D64" s="107"/>
      <c r="E64" s="107"/>
      <c r="F64" s="107"/>
      <c r="G64" s="107"/>
      <c r="H64" s="107"/>
      <c r="I64" s="107"/>
      <c r="J64" s="107"/>
      <c r="K64" s="107"/>
    </row>
    <row r="65" spans="2:11" x14ac:dyDescent="0.2">
      <c r="B65" s="107"/>
      <c r="C65" s="107"/>
      <c r="D65" s="107"/>
      <c r="E65" s="107"/>
      <c r="F65" s="107"/>
      <c r="G65" s="107"/>
      <c r="H65" s="107"/>
      <c r="I65" s="107"/>
      <c r="J65" s="107"/>
      <c r="K65" s="107"/>
    </row>
    <row r="66" spans="2:11" x14ac:dyDescent="0.2">
      <c r="B66" s="107"/>
      <c r="C66" s="107"/>
      <c r="D66" s="107"/>
      <c r="E66" s="107"/>
      <c r="F66" s="107"/>
      <c r="G66" s="107"/>
      <c r="H66" s="107"/>
      <c r="I66" s="107"/>
      <c r="J66" s="107"/>
      <c r="K66" s="107"/>
    </row>
    <row r="67" spans="2:11" x14ac:dyDescent="0.2">
      <c r="B67" s="107"/>
      <c r="C67" s="107"/>
      <c r="D67" s="107"/>
      <c r="E67" s="107"/>
      <c r="F67" s="107"/>
      <c r="G67" s="107"/>
      <c r="H67" s="107"/>
      <c r="I67" s="107"/>
      <c r="J67" s="107"/>
      <c r="K67" s="107"/>
    </row>
    <row r="68" spans="2:11" x14ac:dyDescent="0.2">
      <c r="B68" s="107"/>
      <c r="C68" s="107"/>
      <c r="D68" s="107"/>
      <c r="E68" s="107"/>
      <c r="F68" s="107"/>
      <c r="G68" s="107"/>
      <c r="H68" s="107"/>
      <c r="I68" s="107"/>
      <c r="J68" s="107"/>
      <c r="K68" s="107"/>
    </row>
    <row r="69" spans="2:11" x14ac:dyDescent="0.2">
      <c r="B69" s="107"/>
      <c r="C69" s="107"/>
      <c r="D69" s="107"/>
      <c r="E69" s="107"/>
      <c r="F69" s="107"/>
      <c r="G69" s="107"/>
      <c r="H69" s="107"/>
      <c r="I69" s="107"/>
      <c r="J69" s="107"/>
      <c r="K69" s="107"/>
    </row>
    <row r="70" spans="2:11" x14ac:dyDescent="0.2">
      <c r="B70" s="107"/>
      <c r="C70" s="107"/>
      <c r="D70" s="107"/>
      <c r="E70" s="107"/>
      <c r="F70" s="107"/>
      <c r="G70" s="107"/>
      <c r="H70" s="107"/>
      <c r="I70" s="107"/>
      <c r="J70" s="107"/>
      <c r="K70" s="107"/>
    </row>
    <row r="71" spans="2:11" x14ac:dyDescent="0.2">
      <c r="B71" s="107"/>
      <c r="C71" s="107"/>
      <c r="D71" s="107"/>
      <c r="E71" s="107"/>
      <c r="F71" s="107"/>
      <c r="G71" s="107"/>
      <c r="H71" s="107"/>
      <c r="I71" s="107"/>
      <c r="J71" s="107"/>
      <c r="K71" s="107"/>
    </row>
    <row r="72" spans="2:11" x14ac:dyDescent="0.2">
      <c r="B72" s="107"/>
      <c r="C72" s="107"/>
      <c r="D72" s="107"/>
      <c r="E72" s="107"/>
      <c r="F72" s="107"/>
      <c r="G72" s="107"/>
      <c r="H72" s="107"/>
      <c r="I72" s="107"/>
      <c r="J72" s="107"/>
      <c r="K72" s="107"/>
    </row>
    <row r="73" spans="2:11" x14ac:dyDescent="0.2"/>
    <row r="74" spans="2:11" x14ac:dyDescent="0.2"/>
    <row r="75" spans="2:11" x14ac:dyDescent="0.2"/>
    <row r="76" spans="2:11" x14ac:dyDescent="0.2"/>
    <row r="77" spans="2:11" x14ac:dyDescent="0.2"/>
    <row r="78" spans="2:11" x14ac:dyDescent="0.2"/>
    <row r="79" spans="2:11" x14ac:dyDescent="0.2"/>
    <row r="80" spans="2:11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</sheetData>
  <sheetProtection selectLockedCells="1"/>
  <mergeCells count="191">
    <mergeCell ref="B72:C72"/>
    <mergeCell ref="D72:E72"/>
    <mergeCell ref="F72:G72"/>
    <mergeCell ref="H72:I72"/>
    <mergeCell ref="J72:K72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68:C68"/>
    <mergeCell ref="D68:E68"/>
    <mergeCell ref="F68:G68"/>
    <mergeCell ref="H68:I68"/>
    <mergeCell ref="J68:K68"/>
    <mergeCell ref="B69:C69"/>
    <mergeCell ref="D69:E69"/>
    <mergeCell ref="F69:G69"/>
    <mergeCell ref="H69:I69"/>
    <mergeCell ref="J69:K69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0:C60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H40:I40"/>
    <mergeCell ref="J40:K40"/>
    <mergeCell ref="B41:C41"/>
    <mergeCell ref="D41:E41"/>
    <mergeCell ref="F41:G41"/>
    <mergeCell ref="H41:I41"/>
    <mergeCell ref="J41:K41"/>
    <mergeCell ref="B27:M37"/>
    <mergeCell ref="B39:C39"/>
    <mergeCell ref="D39:E39"/>
    <mergeCell ref="F39:G39"/>
    <mergeCell ref="H39:I39"/>
    <mergeCell ref="J39:K39"/>
    <mergeCell ref="D26:E26"/>
    <mergeCell ref="F26:G26"/>
    <mergeCell ref="H26:I26"/>
    <mergeCell ref="J26:K26"/>
    <mergeCell ref="B20:C20"/>
    <mergeCell ref="E20:F20"/>
    <mergeCell ref="H20:I20"/>
    <mergeCell ref="B22:C22"/>
    <mergeCell ref="E22:F22"/>
    <mergeCell ref="H22:I22"/>
    <mergeCell ref="B12:C12"/>
    <mergeCell ref="B13:H13"/>
    <mergeCell ref="B15:O15"/>
    <mergeCell ref="H19:I19"/>
    <mergeCell ref="B5:O5"/>
    <mergeCell ref="B8:C8"/>
    <mergeCell ref="E8:F8"/>
    <mergeCell ref="H8:I8"/>
    <mergeCell ref="B10:C10"/>
    <mergeCell ref="E10:F10"/>
    <mergeCell ref="H10:I10"/>
    <mergeCell ref="K10:L10"/>
    <mergeCell ref="K8:L8"/>
  </mergeCells>
  <conditionalFormatting sqref="B19 E19 B21 E21 H21">
    <cfRule type="expression" dxfId="4" priority="2">
      <formula>$B$18&lt;&gt;"No"</formula>
    </cfRule>
  </conditionalFormatting>
  <conditionalFormatting sqref="B20:C20 E20:F20 B22:C22 E22:F22 H22:I22">
    <cfRule type="expression" dxfId="3" priority="1">
      <formula>$B$18&lt;&gt;"No"</formula>
    </cfRule>
  </conditionalFormatting>
  <conditionalFormatting sqref="H20:I20">
    <cfRule type="expression" dxfId="0" priority="9">
      <formula>$B$20&lt;&gt;"Otros"</formula>
    </cfRule>
  </conditionalFormatting>
  <dataValidations count="2">
    <dataValidation type="custom" allowBlank="1" showInputMessage="1" showErrorMessage="1" errorTitle="Formato no permitido" error="Para CI colocar 7 u 8 dígitos._x000a_Para RUT colocar 12 dígitos." sqref="E20" xr:uid="{00000000-0002-0000-0500-000000000000}">
      <formula1>IF(B20="CI",OR((LEN(E20)=7),(LEN(E20)=8)),IF(B20="RUT",LEN(E20)=12,TRUE))</formula1>
    </dataValidation>
    <dataValidation allowBlank="1" showInputMessage="1" showErrorMessage="1" errorTitle="Lista" error="Seleccionar de la lista desplegable" sqref="L12:L13" xr:uid="{00000000-0002-0000-0500-000001000000}"/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699B167B-5F34-4D37-89AE-955ACAA13C53}">
            <xm:f>check!$L$7=TRUE</xm:f>
            <x14:dxf>
              <numFmt numFmtId="168" formatCode="0&quot;.&quot;###&quot;.&quot;###&quot;-&quot;0"/>
            </x14:dxf>
          </x14:cfRule>
          <x14:cfRule type="expression" priority="11" id="{3C13FEBB-EB91-4396-A01F-E97572D79E53}">
            <xm:f>check!$K$7=TRUE</xm:f>
            <x14:dxf>
              <numFmt numFmtId="167" formatCode="###&quot;.&quot;###&quot;-&quot;0"/>
            </x14:dxf>
          </x14:cfRule>
          <xm:sqref>E20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Lista" error="Seleccionar de la lista desplegable" xr:uid="{00000000-0002-0000-0500-000002000000}">
          <x14:formula1>
            <xm:f>check!$B$38:$B$56</xm:f>
          </x14:formula1>
          <xm:sqref>B8:C8</xm:sqref>
        </x14:dataValidation>
        <x14:dataValidation type="list" allowBlank="1" showInputMessage="1" showErrorMessage="1" errorTitle="Lista" error="Seleccionar de la lista desplegable" xr:uid="{00000000-0002-0000-0500-000003000000}">
          <x14:formula1>
            <xm:f>check!$B$16:$B$17</xm:f>
          </x14:formula1>
          <xm:sqref>B18</xm:sqref>
        </x14:dataValidation>
        <x14:dataValidation type="list" allowBlank="1" showInputMessage="1" showErrorMessage="1" errorTitle="Lista" error="Seleccionar de la lista desplegable" xr:uid="{00000000-0002-0000-0500-000004000000}">
          <x14:formula1>
            <xm:f>check!$D$6:$D$8</xm:f>
          </x14:formula1>
          <xm:sqref>B20:C20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"/>
  <dimension ref="B2:U130"/>
  <sheetViews>
    <sheetView workbookViewId="0">
      <selection activeCell="B78" sqref="B78"/>
    </sheetView>
  </sheetViews>
  <sheetFormatPr baseColWidth="10" defaultRowHeight="15" x14ac:dyDescent="0.2"/>
  <cols>
    <col min="2" max="2" width="28.6640625" bestFit="1" customWidth="1"/>
    <col min="3" max="3" width="16.5" customWidth="1"/>
    <col min="4" max="4" width="28.6640625" bestFit="1" customWidth="1"/>
    <col min="5" max="5" width="14" customWidth="1"/>
    <col min="6" max="6" width="29.5" customWidth="1"/>
    <col min="7" max="7" width="19.83203125" bestFit="1" customWidth="1"/>
    <col min="8" max="8" width="21.5" customWidth="1"/>
    <col min="9" max="9" width="19.5" bestFit="1" customWidth="1"/>
    <col min="10" max="11" width="11.83203125" bestFit="1" customWidth="1"/>
    <col min="12" max="12" width="15.33203125" bestFit="1" customWidth="1"/>
    <col min="13" max="13" width="17.5" bestFit="1" customWidth="1"/>
    <col min="14" max="14" width="14.5" customWidth="1"/>
    <col min="15" max="15" width="17" customWidth="1"/>
    <col min="16" max="16" width="11.83203125" bestFit="1" customWidth="1"/>
    <col min="17" max="17" width="22.1640625" bestFit="1" customWidth="1"/>
    <col min="18" max="21" width="11.5" customWidth="1"/>
  </cols>
  <sheetData>
    <row r="2" spans="2:14" x14ac:dyDescent="0.2">
      <c r="I2" s="195" t="s">
        <v>128</v>
      </c>
      <c r="J2" s="195"/>
      <c r="K2" s="195"/>
      <c r="L2" s="195"/>
      <c r="M2" s="195"/>
      <c r="N2" s="195"/>
    </row>
    <row r="3" spans="2:14" x14ac:dyDescent="0.2">
      <c r="I3" s="52"/>
      <c r="J3" s="52"/>
      <c r="K3" s="52"/>
      <c r="L3" s="52"/>
      <c r="M3" s="52" t="s">
        <v>129</v>
      </c>
      <c r="N3" s="52"/>
    </row>
    <row r="4" spans="2:14" x14ac:dyDescent="0.2">
      <c r="B4" s="54" t="s">
        <v>16</v>
      </c>
      <c r="I4" s="52"/>
      <c r="J4" s="58" t="s">
        <v>123</v>
      </c>
      <c r="K4" s="58" t="s">
        <v>124</v>
      </c>
      <c r="L4" s="58" t="s">
        <v>125</v>
      </c>
      <c r="M4" s="58" t="s">
        <v>127</v>
      </c>
      <c r="N4" s="58" t="s">
        <v>130</v>
      </c>
    </row>
    <row r="5" spans="2:14" x14ac:dyDescent="0.2">
      <c r="B5" s="51" t="s">
        <v>122</v>
      </c>
      <c r="D5" s="51" t="s">
        <v>133</v>
      </c>
      <c r="F5" s="51" t="s">
        <v>131</v>
      </c>
      <c r="G5" s="45"/>
      <c r="I5" s="58" t="s">
        <v>122</v>
      </c>
      <c r="J5" s="57" t="b">
        <f>IF(AND(Colectiva!B19="RUT",N5=12),TRUE)</f>
        <v>0</v>
      </c>
      <c r="K5" s="57" t="b">
        <f>IF(AND(Colectiva!B19="CI",N5=7),TRUE)</f>
        <v>0</v>
      </c>
      <c r="L5" s="57" t="b">
        <f>IF(AND(Colectiva!B19="CI",N5=8),TRUE)</f>
        <v>0</v>
      </c>
      <c r="M5" s="52" t="str">
        <f>IF(Colectiva!B19="Otros","*","")</f>
        <v/>
      </c>
      <c r="N5" s="52">
        <f>LEN(Colectiva!E19)</f>
        <v>0</v>
      </c>
    </row>
    <row r="6" spans="2:14" x14ac:dyDescent="0.2">
      <c r="B6" s="52" t="s">
        <v>106</v>
      </c>
      <c r="D6" s="53" t="s">
        <v>117</v>
      </c>
      <c r="F6" s="52" t="s">
        <v>35</v>
      </c>
      <c r="I6" s="58" t="s">
        <v>126</v>
      </c>
      <c r="J6" s="57" t="b">
        <f>IF(AND(Individual!B18="RUT",N6=12),TRUE)</f>
        <v>0</v>
      </c>
      <c r="K6" s="57" t="b">
        <f>IF(AND(Individual!B18="CI",N6=7),TRUE)</f>
        <v>0</v>
      </c>
      <c r="L6" s="57" t="b">
        <f>IF(AND(Individual!B18="CI",N6=8),TRUE)</f>
        <v>1</v>
      </c>
      <c r="M6" s="57" t="str">
        <f>IF(Individual!B18="Otros","*","")</f>
        <v/>
      </c>
      <c r="N6" s="52">
        <f>LEN(Individual!E18)</f>
        <v>8</v>
      </c>
    </row>
    <row r="7" spans="2:14" x14ac:dyDescent="0.2">
      <c r="B7" s="52" t="s">
        <v>105</v>
      </c>
      <c r="D7" s="53" t="s">
        <v>118</v>
      </c>
      <c r="F7" s="52" t="s">
        <v>36</v>
      </c>
      <c r="I7" s="58" t="s">
        <v>170</v>
      </c>
      <c r="J7" s="69" t="b">
        <f>IF(AND(Reconexion!B20="RUT",N7=12),TRUE)</f>
        <v>0</v>
      </c>
      <c r="K7" s="52" t="b">
        <f>IF(AND(Reconexion!B20="CI",N7=7),TRUE)</f>
        <v>0</v>
      </c>
      <c r="L7" s="52" t="b">
        <f>IF(AND(Reconexion!B20="CI",N7=8),TRUE)</f>
        <v>0</v>
      </c>
      <c r="M7" s="52" t="str">
        <f>IF(Reconexion!B20="Otros","*","")</f>
        <v/>
      </c>
      <c r="N7" s="52">
        <f>LEN(Reconexion!E20)</f>
        <v>0</v>
      </c>
    </row>
    <row r="8" spans="2:14" x14ac:dyDescent="0.2">
      <c r="B8" s="52" t="s">
        <v>111</v>
      </c>
      <c r="D8" s="53" t="s">
        <v>119</v>
      </c>
      <c r="F8" s="52" t="s">
        <v>37</v>
      </c>
    </row>
    <row r="9" spans="2:14" x14ac:dyDescent="0.2">
      <c r="F9" s="52" t="s">
        <v>73</v>
      </c>
    </row>
    <row r="10" spans="2:14" x14ac:dyDescent="0.2">
      <c r="B10" s="51" t="s">
        <v>126</v>
      </c>
      <c r="F10" s="52" t="s">
        <v>107</v>
      </c>
    </row>
    <row r="11" spans="2:14" x14ac:dyDescent="0.2">
      <c r="B11" s="52" t="s">
        <v>17</v>
      </c>
      <c r="C11" s="1"/>
      <c r="D11" s="51" t="s">
        <v>135</v>
      </c>
      <c r="F11" s="52" t="s">
        <v>175</v>
      </c>
    </row>
    <row r="12" spans="2:14" x14ac:dyDescent="0.2">
      <c r="B12" s="52" t="s">
        <v>18</v>
      </c>
      <c r="D12" s="52" t="s">
        <v>150</v>
      </c>
      <c r="F12" s="52" t="s">
        <v>108</v>
      </c>
    </row>
    <row r="13" spans="2:14" x14ac:dyDescent="0.2">
      <c r="D13" s="52" t="s">
        <v>151</v>
      </c>
    </row>
    <row r="14" spans="2:14" x14ac:dyDescent="0.2">
      <c r="D14" s="52" t="s">
        <v>152</v>
      </c>
    </row>
    <row r="15" spans="2:14" x14ac:dyDescent="0.2">
      <c r="B15" s="51" t="s">
        <v>132</v>
      </c>
      <c r="D15" s="52" t="s">
        <v>153</v>
      </c>
    </row>
    <row r="16" spans="2:14" x14ac:dyDescent="0.2">
      <c r="B16" s="52" t="s">
        <v>19</v>
      </c>
      <c r="C16" s="1"/>
      <c r="D16" s="52" t="s">
        <v>154</v>
      </c>
    </row>
    <row r="17" spans="2:9" x14ac:dyDescent="0.2">
      <c r="B17" s="52" t="s">
        <v>20</v>
      </c>
      <c r="D17" s="52" t="s">
        <v>155</v>
      </c>
      <c r="F17" s="51" t="s">
        <v>138</v>
      </c>
    </row>
    <row r="18" spans="2:9" x14ac:dyDescent="0.2">
      <c r="B18" s="52" t="s">
        <v>74</v>
      </c>
      <c r="D18" s="52" t="s">
        <v>157</v>
      </c>
      <c r="F18" s="52" t="s">
        <v>48</v>
      </c>
    </row>
    <row r="19" spans="2:9" x14ac:dyDescent="0.2">
      <c r="D19" s="52" t="s">
        <v>156</v>
      </c>
      <c r="F19" s="52" t="s">
        <v>49</v>
      </c>
    </row>
    <row r="21" spans="2:9" x14ac:dyDescent="0.2">
      <c r="B21" s="51" t="s">
        <v>134</v>
      </c>
      <c r="C21" s="1"/>
    </row>
    <row r="22" spans="2:9" x14ac:dyDescent="0.2">
      <c r="B22" s="52" t="s">
        <v>76</v>
      </c>
      <c r="D22" s="51" t="s">
        <v>139</v>
      </c>
      <c r="F22" s="51" t="s">
        <v>159</v>
      </c>
      <c r="G22" s="51" t="s">
        <v>158</v>
      </c>
      <c r="H22" s="51" t="s">
        <v>161</v>
      </c>
      <c r="I22" s="51" t="s">
        <v>180</v>
      </c>
    </row>
    <row r="23" spans="2:9" x14ac:dyDescent="0.2">
      <c r="B23" s="52" t="s">
        <v>75</v>
      </c>
      <c r="D23" s="52" t="s">
        <v>141</v>
      </c>
      <c r="F23" s="66">
        <v>3.5</v>
      </c>
      <c r="G23" s="67">
        <v>1.5</v>
      </c>
      <c r="H23" s="66">
        <v>6</v>
      </c>
      <c r="I23" s="66">
        <v>3.5</v>
      </c>
    </row>
    <row r="24" spans="2:9" x14ac:dyDescent="0.2">
      <c r="D24" s="52" t="s">
        <v>142</v>
      </c>
      <c r="F24" s="66">
        <v>4</v>
      </c>
      <c r="G24" s="67">
        <v>2</v>
      </c>
      <c r="H24" s="66">
        <v>8</v>
      </c>
      <c r="I24" s="66">
        <v>4</v>
      </c>
    </row>
    <row r="25" spans="2:9" x14ac:dyDescent="0.2">
      <c r="D25" s="52" t="s">
        <v>143</v>
      </c>
      <c r="F25" s="66">
        <v>4.5</v>
      </c>
      <c r="G25" s="67">
        <v>2.5</v>
      </c>
      <c r="H25" s="66">
        <v>10</v>
      </c>
      <c r="I25" s="66">
        <v>4.5</v>
      </c>
    </row>
    <row r="26" spans="2:9" x14ac:dyDescent="0.2">
      <c r="B26" s="51" t="s">
        <v>136</v>
      </c>
      <c r="D26" s="52" t="s">
        <v>144</v>
      </c>
      <c r="F26" s="66">
        <v>5</v>
      </c>
      <c r="G26" s="67">
        <v>3</v>
      </c>
      <c r="H26" s="66">
        <v>12</v>
      </c>
      <c r="I26" s="66">
        <v>5</v>
      </c>
    </row>
    <row r="27" spans="2:9" x14ac:dyDescent="0.2">
      <c r="B27" s="52" t="s">
        <v>77</v>
      </c>
      <c r="C27" s="1"/>
      <c r="D27" s="52" t="s">
        <v>145</v>
      </c>
      <c r="F27" s="66">
        <v>5.5</v>
      </c>
      <c r="G27" s="67">
        <v>14.5</v>
      </c>
      <c r="H27" s="66">
        <v>15</v>
      </c>
      <c r="I27" s="66">
        <v>5.5</v>
      </c>
    </row>
    <row r="28" spans="2:9" x14ac:dyDescent="0.2">
      <c r="B28" s="52" t="s">
        <v>21</v>
      </c>
      <c r="D28" s="52" t="s">
        <v>146</v>
      </c>
      <c r="F28" s="66">
        <v>6</v>
      </c>
      <c r="G28" s="67">
        <v>25</v>
      </c>
      <c r="H28" s="66">
        <v>20</v>
      </c>
      <c r="I28" s="66">
        <v>6</v>
      </c>
    </row>
    <row r="29" spans="2:9" x14ac:dyDescent="0.2">
      <c r="B29" s="52" t="s">
        <v>78</v>
      </c>
      <c r="D29" s="52" t="s">
        <v>147</v>
      </c>
      <c r="F29" s="66">
        <v>6.5</v>
      </c>
      <c r="G29" s="68"/>
      <c r="H29" s="66">
        <v>25</v>
      </c>
      <c r="I29" s="66">
        <v>6.5</v>
      </c>
    </row>
    <row r="30" spans="2:9" x14ac:dyDescent="0.2">
      <c r="F30" s="66">
        <v>7</v>
      </c>
      <c r="G30" s="68"/>
      <c r="H30" s="66">
        <v>30</v>
      </c>
      <c r="I30" s="66">
        <v>7</v>
      </c>
    </row>
    <row r="31" spans="2:9" x14ac:dyDescent="0.2">
      <c r="D31" s="51" t="s">
        <v>140</v>
      </c>
      <c r="F31" s="66">
        <v>7.5</v>
      </c>
      <c r="G31" s="68"/>
      <c r="H31" s="66">
        <v>35</v>
      </c>
      <c r="I31" s="66">
        <v>7.5</v>
      </c>
    </row>
    <row r="32" spans="2:9" x14ac:dyDescent="0.2">
      <c r="B32" s="51" t="s">
        <v>137</v>
      </c>
      <c r="D32" s="52" t="s">
        <v>80</v>
      </c>
      <c r="F32" s="66">
        <v>8</v>
      </c>
      <c r="G32" s="68"/>
      <c r="H32" s="66">
        <v>40</v>
      </c>
      <c r="I32" s="66">
        <v>8</v>
      </c>
    </row>
    <row r="33" spans="2:9" x14ac:dyDescent="0.2">
      <c r="B33" s="52" t="s">
        <v>79</v>
      </c>
      <c r="D33" s="52" t="s">
        <v>81</v>
      </c>
      <c r="F33" s="66">
        <v>8.5</v>
      </c>
      <c r="G33" s="68"/>
      <c r="H33" s="69" t="s">
        <v>160</v>
      </c>
      <c r="I33" s="66">
        <v>8.5</v>
      </c>
    </row>
    <row r="34" spans="2:9" x14ac:dyDescent="0.2">
      <c r="B34" s="52" t="s">
        <v>22</v>
      </c>
      <c r="F34" s="66">
        <v>9</v>
      </c>
      <c r="G34" s="68"/>
      <c r="H34" s="70"/>
      <c r="I34" s="66">
        <v>9</v>
      </c>
    </row>
    <row r="35" spans="2:9" x14ac:dyDescent="0.2">
      <c r="F35" s="66">
        <v>9.5</v>
      </c>
      <c r="G35" s="68"/>
      <c r="H35" s="70"/>
      <c r="I35" s="66">
        <v>9.5</v>
      </c>
    </row>
    <row r="36" spans="2:9" x14ac:dyDescent="0.2">
      <c r="F36" s="66">
        <v>10</v>
      </c>
      <c r="G36" s="68"/>
      <c r="H36" s="70"/>
      <c r="I36" s="66">
        <v>10</v>
      </c>
    </row>
    <row r="37" spans="2:9" x14ac:dyDescent="0.2">
      <c r="B37" s="51" t="s">
        <v>4</v>
      </c>
      <c r="F37" s="66">
        <v>10.5</v>
      </c>
      <c r="G37" s="68"/>
      <c r="H37" s="70"/>
      <c r="I37" s="66">
        <v>10.5</v>
      </c>
    </row>
    <row r="38" spans="2:9" x14ac:dyDescent="0.2">
      <c r="B38" s="52" t="s">
        <v>53</v>
      </c>
      <c r="F38" s="66">
        <v>11</v>
      </c>
      <c r="G38" s="68"/>
      <c r="H38" s="70"/>
      <c r="I38" s="66">
        <v>11</v>
      </c>
    </row>
    <row r="39" spans="2:9" x14ac:dyDescent="0.2">
      <c r="B39" s="52" t="s">
        <v>54</v>
      </c>
      <c r="F39" s="66">
        <v>11.5</v>
      </c>
      <c r="G39" s="68"/>
      <c r="H39" s="70"/>
      <c r="I39" s="66">
        <v>11.5</v>
      </c>
    </row>
    <row r="40" spans="2:9" x14ac:dyDescent="0.2">
      <c r="B40" s="52" t="s">
        <v>55</v>
      </c>
      <c r="F40" s="52" t="s">
        <v>158</v>
      </c>
      <c r="H40" s="59"/>
      <c r="I40" s="67">
        <v>1.5</v>
      </c>
    </row>
    <row r="41" spans="2:9" x14ac:dyDescent="0.2">
      <c r="B41" s="52" t="s">
        <v>56</v>
      </c>
      <c r="I41" s="67">
        <v>2</v>
      </c>
    </row>
    <row r="42" spans="2:9" x14ac:dyDescent="0.2">
      <c r="B42" s="52" t="s">
        <v>57</v>
      </c>
      <c r="E42" s="196" t="s">
        <v>171</v>
      </c>
      <c r="F42" s="197"/>
      <c r="I42" s="67">
        <v>2.5</v>
      </c>
    </row>
    <row r="43" spans="2:9" x14ac:dyDescent="0.2">
      <c r="B43" s="52" t="s">
        <v>58</v>
      </c>
      <c r="E43">
        <v>1.5</v>
      </c>
      <c r="F43" t="s">
        <v>172</v>
      </c>
      <c r="I43" s="67">
        <v>3</v>
      </c>
    </row>
    <row r="44" spans="2:9" x14ac:dyDescent="0.2">
      <c r="B44" s="52" t="s">
        <v>59</v>
      </c>
      <c r="E44">
        <v>2</v>
      </c>
      <c r="F44" t="s">
        <v>173</v>
      </c>
      <c r="I44" s="67">
        <v>14.5</v>
      </c>
    </row>
    <row r="45" spans="2:9" x14ac:dyDescent="0.2">
      <c r="B45" s="52" t="s">
        <v>60</v>
      </c>
      <c r="E45">
        <v>2.5</v>
      </c>
      <c r="F45" t="s">
        <v>173</v>
      </c>
      <c r="I45" s="67">
        <v>25</v>
      </c>
    </row>
    <row r="46" spans="2:9" x14ac:dyDescent="0.2">
      <c r="B46" s="52" t="s">
        <v>61</v>
      </c>
      <c r="E46">
        <v>3</v>
      </c>
      <c r="F46" t="s">
        <v>173</v>
      </c>
    </row>
    <row r="47" spans="2:9" x14ac:dyDescent="0.2">
      <c r="B47" s="52" t="s">
        <v>62</v>
      </c>
      <c r="E47" s="77">
        <v>14.5</v>
      </c>
      <c r="F47" t="s">
        <v>174</v>
      </c>
    </row>
    <row r="48" spans="2:9" x14ac:dyDescent="0.2">
      <c r="B48" s="52" t="s">
        <v>63</v>
      </c>
      <c r="E48">
        <v>25</v>
      </c>
      <c r="F48" t="s">
        <v>174</v>
      </c>
    </row>
    <row r="49" spans="2:21" x14ac:dyDescent="0.2">
      <c r="B49" s="52" t="s">
        <v>64</v>
      </c>
    </row>
    <row r="50" spans="2:21" x14ac:dyDescent="0.2">
      <c r="B50" s="52" t="s">
        <v>65</v>
      </c>
    </row>
    <row r="51" spans="2:21" x14ac:dyDescent="0.2">
      <c r="B51" s="52" t="s">
        <v>66</v>
      </c>
    </row>
    <row r="52" spans="2:21" x14ac:dyDescent="0.2">
      <c r="B52" s="52" t="s">
        <v>67</v>
      </c>
    </row>
    <row r="53" spans="2:21" x14ac:dyDescent="0.2">
      <c r="B53" s="52" t="s">
        <v>68</v>
      </c>
    </row>
    <row r="54" spans="2:21" x14ac:dyDescent="0.2">
      <c r="B54" s="52" t="s">
        <v>69</v>
      </c>
    </row>
    <row r="55" spans="2:21" x14ac:dyDescent="0.2">
      <c r="B55" s="52" t="s">
        <v>70</v>
      </c>
    </row>
    <row r="56" spans="2:21" x14ac:dyDescent="0.2">
      <c r="B56" s="52" t="s">
        <v>71</v>
      </c>
    </row>
    <row r="58" spans="2:21" x14ac:dyDescent="0.2">
      <c r="B58" s="56" t="s">
        <v>148</v>
      </c>
    </row>
    <row r="59" spans="2:21" x14ac:dyDescent="0.2">
      <c r="B59" s="51" t="s">
        <v>126</v>
      </c>
    </row>
    <row r="60" spans="2:21" x14ac:dyDescent="0.2">
      <c r="B60" s="52" t="str">
        <f>IF(Individual!$L$12="Si","","*")</f>
        <v/>
      </c>
      <c r="E60" s="191" t="s">
        <v>178</v>
      </c>
      <c r="F60" s="192"/>
      <c r="G60" s="86" t="s">
        <v>179</v>
      </c>
      <c r="H60" s="86" t="s">
        <v>184</v>
      </c>
      <c r="I60" s="193" t="s">
        <v>187</v>
      </c>
      <c r="J60" s="194"/>
      <c r="K60" s="194"/>
      <c r="L60" s="194"/>
      <c r="M60" s="68"/>
      <c r="N60" s="191" t="s">
        <v>178</v>
      </c>
      <c r="O60" s="192"/>
      <c r="P60" s="86" t="s">
        <v>179</v>
      </c>
      <c r="Q60" s="86" t="s">
        <v>184</v>
      </c>
      <c r="R60" s="193" t="s">
        <v>187</v>
      </c>
      <c r="S60" s="194"/>
      <c r="T60" s="194"/>
      <c r="U60" s="194"/>
    </row>
    <row r="61" spans="2:21" x14ac:dyDescent="0.2">
      <c r="B61" s="51" t="s">
        <v>122</v>
      </c>
      <c r="E61" s="52">
        <f>Colectiva!H46</f>
        <v>0</v>
      </c>
      <c r="F61" s="52" t="b">
        <f>IF(AND(Colectiva!D46="Trifásica",E61&gt;40),TRUE,IF(Colectiva!D46="Trifásica",IF(IFERROR(MATCH(E61,check!$H$23:$H$32,0),FALSE),TRUE),IF(IFERROR(MATCH(E61,check!$I$23:$I$45,0),FALSE),TRUE)))</f>
        <v>0</v>
      </c>
      <c r="G61" s="52" t="b">
        <f t="shared" ref="G61:G92" si="0">AND(ISNUMBER(E61),INT(E61)&gt;39)</f>
        <v>0</v>
      </c>
      <c r="H61" t="b">
        <f>IF(AND(OR(Colectiva!E46=check!$D$14,Colectiva!E46=check!$D$16,Colectiva!E46=check!$D$17,Colectiva!E46=check!$D$18,Colectiva!E46=check!$D$19),OR(AND(ISNUMBER(Colectiva!H46),Colectiva!H46&gt;=12))),TRUE)</f>
        <v>0</v>
      </c>
      <c r="I61" s="40">
        <f>Colectiva!I46</f>
        <v>0</v>
      </c>
      <c r="J61" s="40" t="b">
        <f>IF(AND(Colectiva!D46="Trifásica",I61&gt;40),TRUE,IF(Colectiva!D46="Trifásica",IF(IFERROR(MATCH(I61,check!$H$23:$H$32,0),FALSE),TRUE),IF(IFERROR(MATCH(I61,check!$I$23:$I$45,0),FALSE),TRUE)))</f>
        <v>0</v>
      </c>
      <c r="K61" t="b">
        <f>ROUND(I61,0)&lt;ROUND(E61,0)</f>
        <v>0</v>
      </c>
      <c r="L61" t="b">
        <f t="shared" ref="L61" si="1">AND(J61,K61)</f>
        <v>0</v>
      </c>
      <c r="N61" s="52">
        <f>Colectiva!Q46</f>
        <v>0</v>
      </c>
      <c r="O61" s="52" t="b">
        <f>IF(AND(Colectiva!M46="Trifásica",N61&gt;40),TRUE,IF(Colectiva!M46="Trifásica",IF(IFERROR(MATCH(N61,check!$H$23:$H$32,0),FALSE),TRUE),IF(IFERROR(MATCH(N61,check!$I$23:$I$45,0),FALSE),TRUE)))</f>
        <v>0</v>
      </c>
      <c r="P61" s="52" t="b">
        <f t="shared" ref="P61:P92" si="2">AND(ISNUMBER(N61),INT(N61)&gt;39)</f>
        <v>0</v>
      </c>
      <c r="Q61" t="b">
        <f>IF(AND(OR(Colectiva!N46=check!$D$14,Colectiva!N46=check!$D$16,Colectiva!N46=check!$D$17,Colectiva!N46=check!$D$18,Colectiva!N46=check!$D$19),OR(AND(ISNUMBER(Colectiva!Q46),Colectiva!Q46&gt;=12))),TRUE)</f>
        <v>0</v>
      </c>
      <c r="R61" s="40">
        <f>Colectiva!R46</f>
        <v>0</v>
      </c>
      <c r="S61" s="40" t="b">
        <f>IF(AND(Colectiva!M46="Trifásica",R61&gt;40),TRUE,IF(Colectiva!M46="Trifásica",IF(IFERROR(MATCH(R61,check!$H$23:$H$32,0),FALSE),TRUE),IF(IFERROR(MATCH(R61,check!$I$23:$I$45,0),FALSE),TRUE)))</f>
        <v>0</v>
      </c>
      <c r="T61" t="b">
        <f t="shared" ref="T61:T124" si="3">ROUND(R61,0)&lt;ROUND(N61,0)</f>
        <v>0</v>
      </c>
      <c r="U61" t="b">
        <f t="shared" ref="U61:U124" si="4">AND(S61,T61)</f>
        <v>0</v>
      </c>
    </row>
    <row r="62" spans="2:21" x14ac:dyDescent="0.2">
      <c r="B62" s="52" t="str">
        <f>IF(Colectiva!L13="Si","","*")</f>
        <v>*</v>
      </c>
      <c r="E62" s="52">
        <f>Colectiva!H47</f>
        <v>0</v>
      </c>
      <c r="F62" s="52" t="b">
        <f>IF(AND(Colectiva!D47="Trifásica",E62&gt;40),TRUE,IF(Colectiva!D47="Trifásica",IF(IFERROR(MATCH(E62,check!$H$23:$H$32,0),FALSE),TRUE),IF(IFERROR(MATCH(E62,check!$I$23:$I$45,0),FALSE),TRUE)))</f>
        <v>0</v>
      </c>
      <c r="G62" s="52" t="b">
        <f t="shared" si="0"/>
        <v>0</v>
      </c>
      <c r="H62" t="b">
        <f>IF(AND(OR(Colectiva!E47=check!$D$14,Colectiva!E47=check!$D$16,Colectiva!E47=check!$D$17,Colectiva!E47=check!$D$18,Colectiva!E47=check!$D$19),OR(AND(ISNUMBER(Colectiva!H47),Colectiva!H47&gt;=12))),TRUE)</f>
        <v>0</v>
      </c>
      <c r="I62" s="40">
        <f>Colectiva!I47</f>
        <v>0</v>
      </c>
      <c r="J62" s="40" t="b">
        <f>IF(AND(Colectiva!D47="Trifásica",I62&gt;40),TRUE,IF(Colectiva!D47="Trifásica",IF(IFERROR(MATCH(I62,check!$H$23:$H$32,0),FALSE),TRUE),IF(IFERROR(MATCH(I62,check!$I$23:$I$45,0),FALSE),TRUE)))</f>
        <v>0</v>
      </c>
      <c r="K62" t="b">
        <f t="shared" ref="K62:K125" si="5">ROUND(I62,0)&lt;ROUND(E62,0)</f>
        <v>0</v>
      </c>
      <c r="L62" t="b">
        <f t="shared" ref="L62:L125" si="6">AND(J62,K62)</f>
        <v>0</v>
      </c>
      <c r="N62" s="52">
        <f>Colectiva!Q47</f>
        <v>0</v>
      </c>
      <c r="O62" s="52" t="b">
        <f>IF(AND(Colectiva!M47="Trifásica",N62&gt;40),TRUE,IF(Colectiva!M47="Trifásica",IF(IFERROR(MATCH(N62,check!$H$23:$H$32,0),FALSE),TRUE),IF(IFERROR(MATCH(N62,check!$I$23:$I$45,0),FALSE),TRUE)))</f>
        <v>0</v>
      </c>
      <c r="P62" s="52" t="b">
        <f t="shared" si="2"/>
        <v>0</v>
      </c>
      <c r="Q62" t="b">
        <f>IF(AND(OR(Colectiva!N47=check!$D$14,Colectiva!N47=check!$D$16,Colectiva!N47=check!$D$17,Colectiva!N47=check!$D$18,Colectiva!N47=check!$D$19),OR(AND(ISNUMBER(Colectiva!Q47),Colectiva!Q47&gt;=12))),TRUE)</f>
        <v>0</v>
      </c>
      <c r="R62" s="40">
        <f>Colectiva!R47</f>
        <v>0</v>
      </c>
      <c r="S62" s="40" t="b">
        <f>IF(AND(Colectiva!M47="Trifásica",R62&gt;40),TRUE,IF(Colectiva!M47="Trifásica",IF(IFERROR(MATCH(R62,check!$H$23:$H$32,0),FALSE),TRUE),IF(IFERROR(MATCH(R62,check!$I$23:$I$45,0),FALSE),TRUE)))</f>
        <v>0</v>
      </c>
      <c r="T62" t="b">
        <f t="shared" si="3"/>
        <v>0</v>
      </c>
      <c r="U62" t="b">
        <f t="shared" si="4"/>
        <v>0</v>
      </c>
    </row>
    <row r="63" spans="2:21" x14ac:dyDescent="0.2">
      <c r="B63" s="51" t="s">
        <v>162</v>
      </c>
      <c r="E63" s="52">
        <f>Colectiva!H48</f>
        <v>0</v>
      </c>
      <c r="F63" s="52" t="b">
        <f>IF(AND(Colectiva!D48="Trifásica",E63&gt;40),TRUE,IF(Colectiva!D48="Trifásica",IF(IFERROR(MATCH(E63,check!$H$23:$H$32,0),FALSE),TRUE),IF(IFERROR(MATCH(E63,check!$I$23:$I$45,0),FALSE),TRUE)))</f>
        <v>0</v>
      </c>
      <c r="G63" s="52" t="b">
        <f t="shared" si="0"/>
        <v>0</v>
      </c>
      <c r="H63" t="b">
        <f>IF(AND(OR(Colectiva!E48=check!$D$14,Colectiva!E48=check!$D$16,Colectiva!E48=check!$D$17,Colectiva!E48=check!$D$18,Colectiva!E48=check!$D$19),OR(AND(ISNUMBER(Colectiva!H48),Colectiva!H48&gt;=12))),TRUE)</f>
        <v>0</v>
      </c>
      <c r="I63" s="40">
        <f>Colectiva!I48</f>
        <v>0</v>
      </c>
      <c r="J63" s="40" t="b">
        <f>IF(AND(Colectiva!D48="Trifásica",I63&gt;40),TRUE,IF(Colectiva!D48="Trifásica",IF(IFERROR(MATCH(I63,check!$H$23:$H$32,0),FALSE),TRUE),IF(IFERROR(MATCH(I63,check!$I$23:$I$45,0),FALSE),TRUE)))</f>
        <v>0</v>
      </c>
      <c r="K63" t="b">
        <f t="shared" si="5"/>
        <v>0</v>
      </c>
      <c r="L63" t="b">
        <f t="shared" si="6"/>
        <v>0</v>
      </c>
      <c r="N63" s="52">
        <f>Colectiva!Q48</f>
        <v>0</v>
      </c>
      <c r="O63" s="52" t="b">
        <f>IF(AND(Colectiva!M48="Trifásica",N63&gt;40),TRUE,IF(Colectiva!M48="Trifásica",IF(IFERROR(MATCH(N63,check!$H$23:$H$32,0),FALSE),TRUE),IF(IFERROR(MATCH(N63,check!$I$23:$I$45,0),FALSE),TRUE)))</f>
        <v>0</v>
      </c>
      <c r="P63" s="52" t="b">
        <f t="shared" si="2"/>
        <v>0</v>
      </c>
      <c r="Q63" t="b">
        <f>IF(AND(OR(Colectiva!N48=check!$D$14,Colectiva!N48=check!$D$16,Colectiva!N48=check!$D$17,Colectiva!N48=check!$D$18,Colectiva!N48=check!$D$19),OR(AND(ISNUMBER(Colectiva!Q48),Colectiva!Q48&gt;=12))),TRUE)</f>
        <v>0</v>
      </c>
      <c r="R63" s="40">
        <f>Colectiva!R48</f>
        <v>0</v>
      </c>
      <c r="S63" s="40" t="b">
        <f>IF(AND(Colectiva!M48="Trifásica",R63&gt;40),TRUE,IF(Colectiva!M48="Trifásica",IF(IFERROR(MATCH(R63,check!$H$23:$H$32,0),FALSE),TRUE),IF(IFERROR(MATCH(R63,check!$I$23:$I$45,0),FALSE),TRUE)))</f>
        <v>0</v>
      </c>
      <c r="T63" t="b">
        <f t="shared" si="3"/>
        <v>0</v>
      </c>
      <c r="U63" t="b">
        <f t="shared" si="4"/>
        <v>0</v>
      </c>
    </row>
    <row r="64" spans="2:21" x14ac:dyDescent="0.2">
      <c r="B64" s="52" t="str">
        <f>IF(Individual!E41="Seleccionar","*","")</f>
        <v/>
      </c>
      <c r="E64" s="52">
        <f>Colectiva!H49</f>
        <v>0</v>
      </c>
      <c r="F64" s="52" t="b">
        <f>IF(AND(Colectiva!D49="Trifásica",E64&gt;40),TRUE,IF(Colectiva!D49="Trifásica",IF(IFERROR(MATCH(E64,check!$H$23:$H$32,0),FALSE),TRUE),IF(IFERROR(MATCH(E64,check!$I$23:$I$45,0),FALSE),TRUE)))</f>
        <v>0</v>
      </c>
      <c r="G64" s="52" t="b">
        <f t="shared" si="0"/>
        <v>0</v>
      </c>
      <c r="H64" t="b">
        <f>IF(AND(OR(Colectiva!E49=check!$D$14,Colectiva!E49=check!$D$16,Colectiva!E49=check!$D$17,Colectiva!E49=check!$D$18,Colectiva!E49=check!$D$19),OR(AND(ISNUMBER(Colectiva!H49),Colectiva!H49&gt;=12))),TRUE)</f>
        <v>0</v>
      </c>
      <c r="I64" s="40">
        <f>Colectiva!I49</f>
        <v>0</v>
      </c>
      <c r="J64" s="40" t="b">
        <f>IF(AND(Colectiva!D49="Trifásica",I64&gt;40),TRUE,IF(Colectiva!D49="Trifásica",IF(IFERROR(MATCH(I64,check!$H$23:$H$32,0),FALSE),TRUE),IF(IFERROR(MATCH(I64,check!$I$23:$I$45,0),FALSE),TRUE)))</f>
        <v>0</v>
      </c>
      <c r="K64" t="b">
        <f t="shared" si="5"/>
        <v>0</v>
      </c>
      <c r="L64" t="b">
        <f t="shared" si="6"/>
        <v>0</v>
      </c>
      <c r="N64" s="52">
        <f>Colectiva!Q49</f>
        <v>0</v>
      </c>
      <c r="O64" s="52" t="b">
        <f>IF(AND(Colectiva!M49="Trifásica",N64&gt;40),TRUE,IF(Colectiva!M49="Trifásica",IF(IFERROR(MATCH(N64,check!$H$23:$H$32,0),FALSE),TRUE),IF(IFERROR(MATCH(N64,check!$I$23:$I$45,0),FALSE),TRUE)))</f>
        <v>0</v>
      </c>
      <c r="P64" s="52" t="b">
        <f t="shared" si="2"/>
        <v>0</v>
      </c>
      <c r="Q64" t="b">
        <f>IF(AND(OR(Colectiva!N49=check!$D$14,Colectiva!N49=check!$D$16,Colectiva!N49=check!$D$17,Colectiva!N49=check!$D$18,Colectiva!N49=check!$D$19),OR(AND(ISNUMBER(Colectiva!Q49),Colectiva!Q49&gt;=12))),TRUE)</f>
        <v>0</v>
      </c>
      <c r="R64" s="40">
        <f>Colectiva!R49</f>
        <v>0</v>
      </c>
      <c r="S64" s="40" t="b">
        <f>IF(AND(Colectiva!M49="Trifásica",R64&gt;40),TRUE,IF(Colectiva!M49="Trifásica",IF(IFERROR(MATCH(R64,check!$H$23:$H$32,0),FALSE),TRUE),IF(IFERROR(MATCH(R64,check!$I$23:$I$45,0),FALSE),TRUE)))</f>
        <v>0</v>
      </c>
      <c r="T64" t="b">
        <f t="shared" si="3"/>
        <v>0</v>
      </c>
      <c r="U64" t="b">
        <f t="shared" si="4"/>
        <v>0</v>
      </c>
    </row>
    <row r="65" spans="2:21" x14ac:dyDescent="0.2">
      <c r="B65" s="52" t="str">
        <f>IF(Individual!E42="Ingresar","*","")</f>
        <v/>
      </c>
      <c r="E65" s="52">
        <f>Colectiva!H50</f>
        <v>0</v>
      </c>
      <c r="F65" s="52" t="b">
        <f>IF(AND(Colectiva!D50="Trifásica",E65&gt;40),TRUE,IF(Colectiva!D50="Trifásica",IF(IFERROR(MATCH(E65,check!$H$23:$H$32,0),FALSE),TRUE),IF(IFERROR(MATCH(E65,check!$I$23:$I$45,0),FALSE),TRUE)))</f>
        <v>0</v>
      </c>
      <c r="G65" s="52" t="b">
        <f t="shared" si="0"/>
        <v>0</v>
      </c>
      <c r="H65" t="b">
        <f>IF(AND(OR(Colectiva!E50=check!$D$14,Colectiva!E50=check!$D$16,Colectiva!E50=check!$D$17,Colectiva!E50=check!$D$18,Colectiva!E50=check!$D$19),OR(AND(ISNUMBER(Colectiva!H50),Colectiva!H50&gt;=12))),TRUE)</f>
        <v>0</v>
      </c>
      <c r="I65" s="40">
        <f>Colectiva!I50</f>
        <v>0</v>
      </c>
      <c r="J65" s="40" t="b">
        <f>IF(AND(Colectiva!D50="Trifásica",I65&gt;40),TRUE,IF(Colectiva!D50="Trifásica",IF(IFERROR(MATCH(I65,check!$H$23:$H$32,0),FALSE),TRUE),IF(IFERROR(MATCH(I65,check!$I$23:$I$45,0),FALSE),TRUE)))</f>
        <v>0</v>
      </c>
      <c r="K65" t="b">
        <f t="shared" si="5"/>
        <v>0</v>
      </c>
      <c r="L65" t="b">
        <f t="shared" si="6"/>
        <v>0</v>
      </c>
      <c r="N65" s="52">
        <f>Colectiva!Q50</f>
        <v>0</v>
      </c>
      <c r="O65" s="52" t="b">
        <f>IF(AND(Colectiva!M50="Trifásica",N65&gt;40),TRUE,IF(Colectiva!M50="Trifásica",IF(IFERROR(MATCH(N65,check!$H$23:$H$32,0),FALSE),TRUE),IF(IFERROR(MATCH(N65,check!$I$23:$I$45,0),FALSE),TRUE)))</f>
        <v>0</v>
      </c>
      <c r="P65" s="52" t="b">
        <f t="shared" si="2"/>
        <v>0</v>
      </c>
      <c r="Q65" t="b">
        <f>IF(AND(OR(Colectiva!N50=check!$D$14,Colectiva!N50=check!$D$16,Colectiva!N50=check!$D$17,Colectiva!N50=check!$D$18,Colectiva!N50=check!$D$19),OR(AND(ISNUMBER(Colectiva!Q50),Colectiva!Q50&gt;=12))),TRUE)</f>
        <v>0</v>
      </c>
      <c r="R65" s="40">
        <f>Colectiva!R50</f>
        <v>0</v>
      </c>
      <c r="S65" s="40" t="b">
        <f>IF(AND(Colectiva!M50="Trifásica",R65&gt;40),TRUE,IF(Colectiva!M50="Trifásica",IF(IFERROR(MATCH(R65,check!$H$23:$H$32,0),FALSE),TRUE),IF(IFERROR(MATCH(R65,check!$I$23:$I$45,0),FALSE),TRUE)))</f>
        <v>0</v>
      </c>
      <c r="T65" t="b">
        <f t="shared" si="3"/>
        <v>0</v>
      </c>
      <c r="U65" t="b">
        <f t="shared" si="4"/>
        <v>0</v>
      </c>
    </row>
    <row r="66" spans="2:21" x14ac:dyDescent="0.2">
      <c r="B66" s="51" t="s">
        <v>163</v>
      </c>
      <c r="E66" s="52">
        <f>Colectiva!H51</f>
        <v>0</v>
      </c>
      <c r="F66" s="52" t="b">
        <f>IF(AND(Colectiva!D51="Trifásica",E66&gt;40),TRUE,IF(Colectiva!D51="Trifásica",IF(IFERROR(MATCH(E66,check!$H$23:$H$32,0),FALSE),TRUE),IF(IFERROR(MATCH(E66,check!$I$23:$I$45,0),FALSE),TRUE)))</f>
        <v>0</v>
      </c>
      <c r="G66" s="52" t="b">
        <f t="shared" si="0"/>
        <v>0</v>
      </c>
      <c r="H66" t="b">
        <f>IF(AND(OR(Colectiva!E51=check!$D$14,Colectiva!E51=check!$D$16,Colectiva!E51=check!$D$17,Colectiva!E51=check!$D$18,Colectiva!E51=check!$D$19),OR(AND(ISNUMBER(Colectiva!H51),Colectiva!H51&gt;=12))),TRUE)</f>
        <v>0</v>
      </c>
      <c r="I66" s="40">
        <f>Colectiva!I51</f>
        <v>0</v>
      </c>
      <c r="J66" s="40" t="b">
        <f>IF(AND(Colectiva!D51="Trifásica",I66&gt;40),TRUE,IF(Colectiva!D51="Trifásica",IF(IFERROR(MATCH(I66,check!$H$23:$H$32,0),FALSE),TRUE),IF(IFERROR(MATCH(I66,check!$I$23:$I$45,0),FALSE),TRUE)))</f>
        <v>0</v>
      </c>
      <c r="K66" t="b">
        <f t="shared" si="5"/>
        <v>0</v>
      </c>
      <c r="L66" t="b">
        <f t="shared" si="6"/>
        <v>0</v>
      </c>
      <c r="N66" s="52">
        <f>Colectiva!Q51</f>
        <v>0</v>
      </c>
      <c r="O66" s="52" t="b">
        <f>IF(AND(Colectiva!M51="Trifásica",N66&gt;40),TRUE,IF(Colectiva!M51="Trifásica",IF(IFERROR(MATCH(N66,check!$H$23:$H$32,0),FALSE),TRUE),IF(IFERROR(MATCH(N66,check!$I$23:$I$45,0),FALSE),TRUE)))</f>
        <v>0</v>
      </c>
      <c r="P66" s="52" t="b">
        <f t="shared" si="2"/>
        <v>0</v>
      </c>
      <c r="Q66" t="b">
        <f>IF(AND(OR(Colectiva!N51=check!$D$14,Colectiva!N51=check!$D$16,Colectiva!N51=check!$D$17,Colectiva!N51=check!$D$18,Colectiva!N51=check!$D$19),OR(AND(ISNUMBER(Colectiva!Q51),Colectiva!Q51&gt;=12))),TRUE)</f>
        <v>0</v>
      </c>
      <c r="R66" s="40">
        <f>Colectiva!R51</f>
        <v>0</v>
      </c>
      <c r="S66" s="40" t="b">
        <f>IF(AND(Colectiva!M51="Trifásica",R66&gt;40),TRUE,IF(Colectiva!M51="Trifásica",IF(IFERROR(MATCH(R66,check!$H$23:$H$32,0),FALSE),TRUE),IF(IFERROR(MATCH(R66,check!$I$23:$I$45,0),FALSE),TRUE)))</f>
        <v>0</v>
      </c>
      <c r="T66" t="b">
        <f t="shared" si="3"/>
        <v>0</v>
      </c>
      <c r="U66" t="b">
        <f t="shared" si="4"/>
        <v>0</v>
      </c>
    </row>
    <row r="67" spans="2:21" x14ac:dyDescent="0.2">
      <c r="B67" s="52">
        <f>Individual!E44</f>
        <v>0</v>
      </c>
      <c r="E67" s="52">
        <f>Colectiva!H52</f>
        <v>0</v>
      </c>
      <c r="F67" s="52" t="b">
        <f>IF(AND(Colectiva!D52="Trifásica",E67&gt;40),TRUE,IF(Colectiva!D52="Trifásica",IF(IFERROR(MATCH(E67,check!$H$23:$H$32,0),FALSE),TRUE),IF(IFERROR(MATCH(E67,check!$I$23:$I$45,0),FALSE),TRUE)))</f>
        <v>0</v>
      </c>
      <c r="G67" s="52" t="b">
        <f t="shared" si="0"/>
        <v>0</v>
      </c>
      <c r="H67" t="b">
        <f>IF(AND(OR(Colectiva!E52=check!$D$14,Colectiva!E52=check!$D$16,Colectiva!E52=check!$D$17,Colectiva!E52=check!$D$18,Colectiva!E52=check!$D$19),OR(AND(ISNUMBER(Colectiva!H52),Colectiva!H52&gt;=12))),TRUE)</f>
        <v>0</v>
      </c>
      <c r="I67" s="40">
        <f>Colectiva!I52</f>
        <v>0</v>
      </c>
      <c r="J67" s="40" t="b">
        <f>IF(AND(Colectiva!D52="Trifásica",I67&gt;40),TRUE,IF(Colectiva!D52="Trifásica",IF(IFERROR(MATCH(I67,check!$H$23:$H$32,0),FALSE),TRUE),IF(IFERROR(MATCH(I67,check!$I$23:$I$45,0),FALSE),TRUE)))</f>
        <v>0</v>
      </c>
      <c r="K67" t="b">
        <f t="shared" si="5"/>
        <v>0</v>
      </c>
      <c r="L67" t="b">
        <f t="shared" si="6"/>
        <v>0</v>
      </c>
      <c r="N67" s="52">
        <f>Colectiva!Q52</f>
        <v>0</v>
      </c>
      <c r="O67" s="52" t="b">
        <f>IF(AND(Colectiva!M52="Trifásica",N67&gt;40),TRUE,IF(Colectiva!M52="Trifásica",IF(IFERROR(MATCH(N67,check!$H$23:$H$32,0),FALSE),TRUE),IF(IFERROR(MATCH(N67,check!$I$23:$I$45,0),FALSE),TRUE)))</f>
        <v>0</v>
      </c>
      <c r="P67" s="52" t="b">
        <f t="shared" si="2"/>
        <v>0</v>
      </c>
      <c r="Q67" t="b">
        <f>IF(AND(OR(Colectiva!N52=check!$D$14,Colectiva!N52=check!$D$16,Colectiva!N52=check!$D$17,Colectiva!N52=check!$D$18,Colectiva!N52=check!$D$19),OR(AND(ISNUMBER(Colectiva!Q52),Colectiva!Q52&gt;=12))),TRUE)</f>
        <v>0</v>
      </c>
      <c r="R67" s="40">
        <f>Colectiva!R52</f>
        <v>0</v>
      </c>
      <c r="S67" s="40" t="b">
        <f>IF(AND(Colectiva!M52="Trifásica",R67&gt;40),TRUE,IF(Colectiva!M52="Trifásica",IF(IFERROR(MATCH(R67,check!$H$23:$H$32,0),FALSE),TRUE),IF(IFERROR(MATCH(R67,check!$I$23:$I$45,0),FALSE),TRUE)))</f>
        <v>0</v>
      </c>
      <c r="T67" t="b">
        <f t="shared" si="3"/>
        <v>0</v>
      </c>
      <c r="U67" t="b">
        <f t="shared" si="4"/>
        <v>0</v>
      </c>
    </row>
    <row r="68" spans="2:21" x14ac:dyDescent="0.2">
      <c r="B68" s="52" t="b">
        <f>IF(AND(OR(Individual!E39=check!D14,Individual!E39=check!D16,Individual!E39=check!D17,Individual!E39=check!D18,Individual!E39=check!D19),OR(AND(ISNUMBER(Individual!B41),Individual!B41&gt;=12),Individual!F41&gt;=12,Individual!B41="Mayor a 40 KW")),TRUE)</f>
        <v>0</v>
      </c>
      <c r="E68" s="52">
        <f>Colectiva!H53</f>
        <v>0</v>
      </c>
      <c r="F68" s="52" t="b">
        <f>IF(AND(Colectiva!D53="Trifásica",E68&gt;40),TRUE,IF(Colectiva!D53="Trifásica",IF(IFERROR(MATCH(E68,check!$H$23:$H$32,0),FALSE),TRUE),IF(IFERROR(MATCH(E68,check!$I$23:$I$45,0),FALSE),TRUE)))</f>
        <v>0</v>
      </c>
      <c r="G68" s="52" t="b">
        <f t="shared" si="0"/>
        <v>0</v>
      </c>
      <c r="H68" t="b">
        <f>IF(AND(OR(Colectiva!E53=check!$D$14,Colectiva!E53=check!$D$16,Colectiva!E53=check!$D$17,Colectiva!E53=check!$D$18,Colectiva!E53=check!$D$19),OR(AND(ISNUMBER(Colectiva!H53),Colectiva!H53&gt;=12))),TRUE)</f>
        <v>0</v>
      </c>
      <c r="I68" s="40">
        <f>Colectiva!I53</f>
        <v>0</v>
      </c>
      <c r="J68" s="40" t="b">
        <f>IF(AND(Colectiva!D53="Trifásica",I68&gt;40),TRUE,IF(Colectiva!D53="Trifásica",IF(IFERROR(MATCH(I68,check!$H$23:$H$32,0),FALSE),TRUE),IF(IFERROR(MATCH(I68,check!$I$23:$I$45,0),FALSE),TRUE)))</f>
        <v>0</v>
      </c>
      <c r="K68" t="b">
        <f t="shared" si="5"/>
        <v>0</v>
      </c>
      <c r="L68" t="b">
        <f t="shared" si="6"/>
        <v>0</v>
      </c>
      <c r="N68" s="52">
        <f>Colectiva!Q53</f>
        <v>0</v>
      </c>
      <c r="O68" s="52" t="b">
        <f>IF(AND(Colectiva!M53="Trifásica",N68&gt;40),TRUE,IF(Colectiva!M53="Trifásica",IF(IFERROR(MATCH(N68,check!$H$23:$H$32,0),FALSE),TRUE),IF(IFERROR(MATCH(N68,check!$I$23:$I$45,0),FALSE),TRUE)))</f>
        <v>0</v>
      </c>
      <c r="P68" s="52" t="b">
        <f t="shared" si="2"/>
        <v>0</v>
      </c>
      <c r="Q68" t="b">
        <f>IF(AND(OR(Colectiva!N53=check!$D$14,Colectiva!N53=check!$D$16,Colectiva!N53=check!$D$17,Colectiva!N53=check!$D$18,Colectiva!N53=check!$D$19),OR(AND(ISNUMBER(Colectiva!Q53),Colectiva!Q53&gt;=12))),TRUE)</f>
        <v>0</v>
      </c>
      <c r="R68" s="40">
        <f>Colectiva!R53</f>
        <v>0</v>
      </c>
      <c r="S68" s="40" t="b">
        <f>IF(AND(Colectiva!M53="Trifásica",R68&gt;40),TRUE,IF(Colectiva!M53="Trifásica",IF(IFERROR(MATCH(R68,check!$H$23:$H$32,0),FALSE),TRUE),IF(IFERROR(MATCH(R68,check!$I$23:$I$45,0),FALSE),TRUE)))</f>
        <v>0</v>
      </c>
      <c r="T68" t="b">
        <f t="shared" si="3"/>
        <v>0</v>
      </c>
      <c r="U68" t="b">
        <f t="shared" si="4"/>
        <v>0</v>
      </c>
    </row>
    <row r="69" spans="2:21" x14ac:dyDescent="0.2">
      <c r="B69" s="52" t="b">
        <f>IF(B67&lt;&gt;"Si",FALSE,IF(AND(OR(Individual!E39=check!D14,Individual!E39=check!D16,Individual!E39=check!D17,Individual!E39=check!D18,Individual!E39=check!D19),OR(AND(ISNUMBER(Individual!B41),Individual!B41&gt;=12),Individual!F41&gt;=12,Individual!B41="Mayor a 40 KW")),TRUE))</f>
        <v>0</v>
      </c>
      <c r="E69" s="52">
        <f>Colectiva!H54</f>
        <v>0</v>
      </c>
      <c r="F69" s="52" t="b">
        <f>IF(AND(Colectiva!D54="Trifásica",E69&gt;40),TRUE,IF(Colectiva!D54="Trifásica",IF(IFERROR(MATCH(E69,check!$H$23:$H$32,0),FALSE),TRUE),IF(IFERROR(MATCH(E69,check!$I$23:$I$45,0),FALSE),TRUE)))</f>
        <v>0</v>
      </c>
      <c r="G69" s="52" t="b">
        <f t="shared" si="0"/>
        <v>0</v>
      </c>
      <c r="H69" t="b">
        <f>IF(AND(OR(Colectiva!E54=check!$D$14,Colectiva!E54=check!$D$16,Colectiva!E54=check!$D$17,Colectiva!E54=check!$D$18,Colectiva!E54=check!$D$19),OR(AND(ISNUMBER(Colectiva!H54),Colectiva!H54&gt;=12))),TRUE)</f>
        <v>0</v>
      </c>
      <c r="I69" s="40">
        <f>Colectiva!I54</f>
        <v>0</v>
      </c>
      <c r="J69" s="40" t="b">
        <f>IF(AND(Colectiva!D54="Trifásica",I69&gt;40),TRUE,IF(Colectiva!D54="Trifásica",IF(IFERROR(MATCH(I69,check!$H$23:$H$32,0),FALSE),TRUE),IF(IFERROR(MATCH(I69,check!$I$23:$I$45,0),FALSE),TRUE)))</f>
        <v>0</v>
      </c>
      <c r="K69" t="b">
        <f t="shared" si="5"/>
        <v>0</v>
      </c>
      <c r="L69" t="b">
        <f t="shared" si="6"/>
        <v>0</v>
      </c>
      <c r="N69" s="52">
        <f>Colectiva!Q54</f>
        <v>0</v>
      </c>
      <c r="O69" s="52" t="b">
        <f>IF(AND(Colectiva!M54="Trifásica",N69&gt;40),TRUE,IF(Colectiva!M54="Trifásica",IF(IFERROR(MATCH(N69,check!$H$23:$H$32,0),FALSE),TRUE),IF(IFERROR(MATCH(N69,check!$I$23:$I$45,0),FALSE),TRUE)))</f>
        <v>0</v>
      </c>
      <c r="P69" s="52" t="b">
        <f t="shared" si="2"/>
        <v>0</v>
      </c>
      <c r="Q69" t="b">
        <f>IF(AND(OR(Colectiva!N54=check!$D$14,Colectiva!N54=check!$D$16,Colectiva!N54=check!$D$17,Colectiva!N54=check!$D$18,Colectiva!N54=check!$D$19),OR(AND(ISNUMBER(Colectiva!Q54),Colectiva!Q54&gt;=12))),TRUE)</f>
        <v>0</v>
      </c>
      <c r="R69" s="40">
        <f>Colectiva!R54</f>
        <v>0</v>
      </c>
      <c r="S69" s="40" t="b">
        <f>IF(AND(Colectiva!M54="Trifásica",R69&gt;40),TRUE,IF(Colectiva!M54="Trifásica",IF(IFERROR(MATCH(R69,check!$H$23:$H$32,0),FALSE),TRUE),IF(IFERROR(MATCH(R69,check!$I$23:$I$45,0),FALSE),TRUE)))</f>
        <v>0</v>
      </c>
      <c r="T69" t="b">
        <f t="shared" si="3"/>
        <v>0</v>
      </c>
      <c r="U69" t="b">
        <f t="shared" si="4"/>
        <v>0</v>
      </c>
    </row>
    <row r="70" spans="2:21" x14ac:dyDescent="0.2">
      <c r="B70" s="52" t="str">
        <f>IF(B69=FALSE,"","*")</f>
        <v/>
      </c>
      <c r="E70" s="52">
        <f>Colectiva!H55</f>
        <v>0</v>
      </c>
      <c r="F70" s="52" t="b">
        <f>IF(AND(Colectiva!D55="Trifásica",E70&gt;40),TRUE,IF(Colectiva!D55="Trifásica",IF(IFERROR(MATCH(E70,check!$H$23:$H$32,0),FALSE),TRUE),IF(IFERROR(MATCH(E70,check!$I$23:$I$45,0),FALSE),TRUE)))</f>
        <v>0</v>
      </c>
      <c r="G70" s="52" t="b">
        <f t="shared" si="0"/>
        <v>0</v>
      </c>
      <c r="H70" t="b">
        <f>IF(AND(OR(Colectiva!E55=check!$D$14,Colectiva!E55=check!$D$16,Colectiva!E55=check!$D$17,Colectiva!E55=check!$D$18,Colectiva!E55=check!$D$19),OR(AND(ISNUMBER(Colectiva!H55),Colectiva!H55&gt;=12))),TRUE)</f>
        <v>0</v>
      </c>
      <c r="I70" s="40">
        <f>Colectiva!I55</f>
        <v>0</v>
      </c>
      <c r="J70" s="40" t="b">
        <f>IF(AND(Colectiva!D55="Trifásica",I70&gt;40),TRUE,IF(Colectiva!D55="Trifásica",IF(IFERROR(MATCH(I70,check!$H$23:$H$32,0),FALSE),TRUE),IF(IFERROR(MATCH(I70,check!$I$23:$I$45,0),FALSE),TRUE)))</f>
        <v>0</v>
      </c>
      <c r="K70" t="b">
        <f t="shared" si="5"/>
        <v>0</v>
      </c>
      <c r="L70" t="b">
        <f t="shared" si="6"/>
        <v>0</v>
      </c>
      <c r="N70" s="52">
        <f>Colectiva!Q55</f>
        <v>0</v>
      </c>
      <c r="O70" s="52" t="b">
        <f>IF(AND(Colectiva!M55="Trifásica",N70&gt;40),TRUE,IF(Colectiva!M55="Trifásica",IF(IFERROR(MATCH(N70,check!$H$23:$H$32,0),FALSE),TRUE),IF(IFERROR(MATCH(N70,check!$I$23:$I$45,0),FALSE),TRUE)))</f>
        <v>0</v>
      </c>
      <c r="P70" s="52" t="b">
        <f t="shared" si="2"/>
        <v>0</v>
      </c>
      <c r="Q70" t="b">
        <f>IF(AND(OR(Colectiva!N55=check!$D$14,Colectiva!N55=check!$D$16,Colectiva!N55=check!$D$17,Colectiva!N55=check!$D$18,Colectiva!N55=check!$D$19),OR(AND(ISNUMBER(Colectiva!Q55),Colectiva!Q55&gt;=12))),TRUE)</f>
        <v>0</v>
      </c>
      <c r="R70" s="40">
        <f>Colectiva!R55</f>
        <v>0</v>
      </c>
      <c r="S70" s="40" t="b">
        <f>IF(AND(Colectiva!M55="Trifásica",R70&gt;40),TRUE,IF(Colectiva!M55="Trifásica",IF(IFERROR(MATCH(R70,check!$H$23:$H$32,0),FALSE),TRUE),IF(IFERROR(MATCH(R70,check!$I$23:$I$45,0),FALSE),TRUE)))</f>
        <v>0</v>
      </c>
      <c r="T70" t="b">
        <f t="shared" si="3"/>
        <v>0</v>
      </c>
      <c r="U70" t="b">
        <f t="shared" si="4"/>
        <v>0</v>
      </c>
    </row>
    <row r="71" spans="2:21" x14ac:dyDescent="0.2">
      <c r="B71" s="51" t="s">
        <v>168</v>
      </c>
      <c r="E71" s="52">
        <f>Colectiva!H56</f>
        <v>0</v>
      </c>
      <c r="F71" s="52" t="b">
        <f>IF(AND(Colectiva!D56="Trifásica",E71&gt;40),TRUE,IF(Colectiva!D56="Trifásica",IF(IFERROR(MATCH(E71,check!$H$23:$H$32,0),FALSE),TRUE),IF(IFERROR(MATCH(E71,check!$I$23:$I$45,0),FALSE),TRUE)))</f>
        <v>0</v>
      </c>
      <c r="G71" s="52" t="b">
        <f t="shared" si="0"/>
        <v>0</v>
      </c>
      <c r="H71" t="b">
        <f>IF(AND(OR(Colectiva!E56=check!$D$14,Colectiva!E56=check!$D$16,Colectiva!E56=check!$D$17,Colectiva!E56=check!$D$18,Colectiva!E56=check!$D$19),OR(AND(ISNUMBER(Colectiva!H56),Colectiva!H56&gt;=12))),TRUE)</f>
        <v>0</v>
      </c>
      <c r="I71" s="40">
        <f>Colectiva!I56</f>
        <v>0</v>
      </c>
      <c r="J71" s="40" t="b">
        <f>IF(AND(Colectiva!D56="Trifásica",I71&gt;40),TRUE,IF(Colectiva!D56="Trifásica",IF(IFERROR(MATCH(I71,check!$H$23:$H$32,0),FALSE),TRUE),IF(IFERROR(MATCH(I71,check!$I$23:$I$45,0),FALSE),TRUE)))</f>
        <v>0</v>
      </c>
      <c r="K71" t="b">
        <f t="shared" si="5"/>
        <v>0</v>
      </c>
      <c r="L71" t="b">
        <f t="shared" si="6"/>
        <v>0</v>
      </c>
      <c r="N71" s="52">
        <f>Colectiva!Q56</f>
        <v>0</v>
      </c>
      <c r="O71" s="52" t="b">
        <f>IF(AND(Colectiva!M56="Trifásica",N71&gt;40),TRUE,IF(Colectiva!M56="Trifásica",IF(IFERROR(MATCH(N71,check!$H$23:$H$32,0),FALSE),TRUE),IF(IFERROR(MATCH(N71,check!$I$23:$I$45,0),FALSE),TRUE)))</f>
        <v>0</v>
      </c>
      <c r="P71" s="52" t="b">
        <f t="shared" si="2"/>
        <v>0</v>
      </c>
      <c r="Q71" t="b">
        <f>IF(AND(OR(Colectiva!N56=check!$D$14,Colectiva!N56=check!$D$16,Colectiva!N56=check!$D$17,Colectiva!N56=check!$D$18,Colectiva!N56=check!$D$19),OR(AND(ISNUMBER(Colectiva!Q56),Colectiva!Q56&gt;=12))),TRUE)</f>
        <v>0</v>
      </c>
      <c r="R71" s="40">
        <f>Colectiva!R56</f>
        <v>0</v>
      </c>
      <c r="S71" s="40" t="b">
        <f>IF(AND(Colectiva!M56="Trifásica",R71&gt;40),TRUE,IF(Colectiva!M56="Trifásica",IF(IFERROR(MATCH(R71,check!$H$23:$H$32,0),FALSE),TRUE),IF(IFERROR(MATCH(R71,check!$I$23:$I$45,0),FALSE),TRUE)))</f>
        <v>0</v>
      </c>
      <c r="T71" t="b">
        <f t="shared" si="3"/>
        <v>0</v>
      </c>
      <c r="U71" t="b">
        <f t="shared" si="4"/>
        <v>0</v>
      </c>
    </row>
    <row r="72" spans="2:21" x14ac:dyDescent="0.2">
      <c r="B72" s="52" t="str">
        <f>Individual!E49</f>
        <v>No</v>
      </c>
      <c r="E72" s="52">
        <f>Colectiva!H57</f>
        <v>0</v>
      </c>
      <c r="F72" s="52" t="b">
        <f>IF(AND(Colectiva!D57="Trifásica",E72&gt;40),TRUE,IF(Colectiva!D57="Trifásica",IF(IFERROR(MATCH(E72,check!$H$23:$H$32,0),FALSE),TRUE),IF(IFERROR(MATCH(E72,check!$I$23:$I$45,0),FALSE),TRUE)))</f>
        <v>0</v>
      </c>
      <c r="G72" s="52" t="b">
        <f t="shared" si="0"/>
        <v>0</v>
      </c>
      <c r="H72" t="b">
        <f>IF(AND(OR(Colectiva!E57=check!$D$14,Colectiva!E57=check!$D$16,Colectiva!E57=check!$D$17,Colectiva!E57=check!$D$18,Colectiva!E57=check!$D$19),OR(AND(ISNUMBER(Colectiva!H57),Colectiva!H57&gt;=12))),TRUE)</f>
        <v>0</v>
      </c>
      <c r="I72" s="40">
        <f>Colectiva!I57</f>
        <v>0</v>
      </c>
      <c r="J72" s="40" t="b">
        <f>IF(AND(Colectiva!D57="Trifásica",I72&gt;40),TRUE,IF(Colectiva!D57="Trifásica",IF(IFERROR(MATCH(I72,check!$H$23:$H$32,0),FALSE),TRUE),IF(IFERROR(MATCH(I72,check!$I$23:$I$45,0),FALSE),TRUE)))</f>
        <v>0</v>
      </c>
      <c r="K72" t="b">
        <f t="shared" si="5"/>
        <v>0</v>
      </c>
      <c r="L72" t="b">
        <f t="shared" si="6"/>
        <v>0</v>
      </c>
      <c r="N72" s="52">
        <f>Colectiva!Q57</f>
        <v>0</v>
      </c>
      <c r="O72" s="52" t="b">
        <f>IF(AND(Colectiva!M57="Trifásica",N72&gt;40),TRUE,IF(Colectiva!M57="Trifásica",IF(IFERROR(MATCH(N72,check!$H$23:$H$32,0),FALSE),TRUE),IF(IFERROR(MATCH(N72,check!$I$23:$I$45,0),FALSE),TRUE)))</f>
        <v>0</v>
      </c>
      <c r="P72" s="52" t="b">
        <f t="shared" si="2"/>
        <v>0</v>
      </c>
      <c r="Q72" t="b">
        <f>IF(AND(OR(Colectiva!N57=check!$D$14,Colectiva!N57=check!$D$16,Colectiva!N57=check!$D$17,Colectiva!N57=check!$D$18,Colectiva!N57=check!$D$19),OR(AND(ISNUMBER(Colectiva!Q57),Colectiva!Q57&gt;=12))),TRUE)</f>
        <v>0</v>
      </c>
      <c r="R72" s="40">
        <f>Colectiva!R57</f>
        <v>0</v>
      </c>
      <c r="S72" s="40" t="b">
        <f>IF(AND(Colectiva!M57="Trifásica",R72&gt;40),TRUE,IF(Colectiva!M57="Trifásica",IF(IFERROR(MATCH(R72,check!$H$23:$H$32,0),FALSE),TRUE),IF(IFERROR(MATCH(R72,check!$I$23:$I$45,0),FALSE),TRUE)))</f>
        <v>0</v>
      </c>
      <c r="T72" t="b">
        <f t="shared" si="3"/>
        <v>0</v>
      </c>
      <c r="U72" t="b">
        <f t="shared" si="4"/>
        <v>0</v>
      </c>
    </row>
    <row r="73" spans="2:21" x14ac:dyDescent="0.2">
      <c r="B73" s="52" t="b">
        <f>IF(AND(OR(Individual!E44=check!D19,Individual!E44=check!D21,Individual!E44=check!D22,Individual!E44=check!D23,Individual!E44=check!D24),OR(AND(ISNUMBER(Individual!B46),Individual!B46&gt;12),Individual!F46&gt;12,Individual!B46="Mayor a 40 KW")),TRUE)</f>
        <v>0</v>
      </c>
      <c r="E73" s="52">
        <f>Colectiva!H58</f>
        <v>0</v>
      </c>
      <c r="F73" s="52" t="b">
        <f>IF(AND(Colectiva!D58="Trifásica",E73&gt;40),TRUE,IF(Colectiva!D58="Trifásica",IF(IFERROR(MATCH(E73,check!$H$23:$H$32,0),FALSE),TRUE),IF(IFERROR(MATCH(E73,check!$I$23:$I$45,0),FALSE),TRUE)))</f>
        <v>0</v>
      </c>
      <c r="G73" s="52" t="b">
        <f t="shared" si="0"/>
        <v>0</v>
      </c>
      <c r="H73" t="b">
        <f>IF(AND(OR(Colectiva!E58=check!$D$14,Colectiva!E58=check!$D$16,Colectiva!E58=check!$D$17,Colectiva!E58=check!$D$18,Colectiva!E58=check!$D$19),OR(AND(ISNUMBER(Colectiva!H58),Colectiva!H58&gt;=12))),TRUE)</f>
        <v>0</v>
      </c>
      <c r="I73" s="40">
        <f>Colectiva!I58</f>
        <v>0</v>
      </c>
      <c r="J73" s="40" t="b">
        <f>IF(AND(Colectiva!D58="Trifásica",I73&gt;40),TRUE,IF(Colectiva!D58="Trifásica",IF(IFERROR(MATCH(I73,check!$H$23:$H$32,0),FALSE),TRUE),IF(IFERROR(MATCH(I73,check!$I$23:$I$45,0),FALSE),TRUE)))</f>
        <v>0</v>
      </c>
      <c r="K73" t="b">
        <f t="shared" si="5"/>
        <v>0</v>
      </c>
      <c r="L73" t="b">
        <f t="shared" si="6"/>
        <v>0</v>
      </c>
      <c r="N73" s="52">
        <f>Colectiva!Q58</f>
        <v>0</v>
      </c>
      <c r="O73" s="52" t="b">
        <f>IF(AND(Colectiva!M58="Trifásica",N73&gt;40),TRUE,IF(Colectiva!M58="Trifásica",IF(IFERROR(MATCH(N73,check!$H$23:$H$32,0),FALSE),TRUE),IF(IFERROR(MATCH(N73,check!$I$23:$I$45,0),FALSE),TRUE)))</f>
        <v>0</v>
      </c>
      <c r="P73" s="52" t="b">
        <f t="shared" si="2"/>
        <v>0</v>
      </c>
      <c r="Q73" t="b">
        <f>IF(AND(OR(Colectiva!N58=check!$D$14,Colectiva!N58=check!$D$16,Colectiva!N58=check!$D$17,Colectiva!N58=check!$D$18,Colectiva!N58=check!$D$19),OR(AND(ISNUMBER(Colectiva!Q58),Colectiva!Q58&gt;=12))),TRUE)</f>
        <v>0</v>
      </c>
      <c r="R73" s="40">
        <f>Colectiva!R58</f>
        <v>0</v>
      </c>
      <c r="S73" s="40" t="b">
        <f>IF(AND(Colectiva!M58="Trifásica",R73&gt;40),TRUE,IF(Colectiva!M58="Trifásica",IF(IFERROR(MATCH(R73,check!$H$23:$H$32,0),FALSE),TRUE),IF(IFERROR(MATCH(R73,check!$I$23:$I$45,0),FALSE),TRUE)))</f>
        <v>0</v>
      </c>
      <c r="T73" t="b">
        <f t="shared" si="3"/>
        <v>0</v>
      </c>
      <c r="U73" t="b">
        <f t="shared" si="4"/>
        <v>0</v>
      </c>
    </row>
    <row r="74" spans="2:21" x14ac:dyDescent="0.2">
      <c r="B74" s="52" t="b">
        <f>IF(B72&lt;&gt;"Si",FALSE,IF(AND(OR(Individual!E44=check!D19,Individual!E44=check!D21,Individual!E44=check!D22,Individual!E44=check!D23,Individual!E44=check!D24),OR(AND(ISNUMBER(Individual!B46),Individual!B46&gt;12),Individual!F46&gt;12,Individual!B46="Mayor a 40 KW")),TRUE))</f>
        <v>0</v>
      </c>
      <c r="E74" s="52">
        <f>Colectiva!H59</f>
        <v>0</v>
      </c>
      <c r="F74" s="52" t="b">
        <f>IF(AND(Colectiva!D59="Trifásica",E74&gt;40),TRUE,IF(Colectiva!D59="Trifásica",IF(IFERROR(MATCH(E74,check!$H$23:$H$32,0),FALSE),TRUE),IF(IFERROR(MATCH(E74,check!$I$23:$I$45,0),FALSE),TRUE)))</f>
        <v>0</v>
      </c>
      <c r="G74" s="52" t="b">
        <f t="shared" si="0"/>
        <v>0</v>
      </c>
      <c r="H74" t="b">
        <f>IF(AND(OR(Colectiva!E59=check!$D$14,Colectiva!E59=check!$D$16,Colectiva!E59=check!$D$17,Colectiva!E59=check!$D$18,Colectiva!E59=check!$D$19),OR(AND(ISNUMBER(Colectiva!H59),Colectiva!H59&gt;=12))),TRUE)</f>
        <v>0</v>
      </c>
      <c r="I74" s="40">
        <f>Colectiva!I59</f>
        <v>0</v>
      </c>
      <c r="J74" s="40" t="b">
        <f>IF(AND(Colectiva!D59="Trifásica",I74&gt;40),TRUE,IF(Colectiva!D59="Trifásica",IF(IFERROR(MATCH(I74,check!$H$23:$H$32,0),FALSE),TRUE),IF(IFERROR(MATCH(I74,check!$I$23:$I$45,0),FALSE),TRUE)))</f>
        <v>0</v>
      </c>
      <c r="K74" t="b">
        <f t="shared" si="5"/>
        <v>0</v>
      </c>
      <c r="L74" t="b">
        <f t="shared" si="6"/>
        <v>0</v>
      </c>
      <c r="N74" s="52">
        <f>Colectiva!Q59</f>
        <v>0</v>
      </c>
      <c r="O74" s="52" t="b">
        <f>IF(AND(Colectiva!M59="Trifásica",N74&gt;40),TRUE,IF(Colectiva!M59="Trifásica",IF(IFERROR(MATCH(N74,check!$H$23:$H$32,0),FALSE),TRUE),IF(IFERROR(MATCH(N74,check!$I$23:$I$45,0),FALSE),TRUE)))</f>
        <v>0</v>
      </c>
      <c r="P74" s="52" t="b">
        <f t="shared" si="2"/>
        <v>0</v>
      </c>
      <c r="Q74" t="b">
        <f>IF(AND(OR(Colectiva!N59=check!$D$14,Colectiva!N59=check!$D$16,Colectiva!N59=check!$D$17,Colectiva!N59=check!$D$18,Colectiva!N59=check!$D$19),OR(AND(ISNUMBER(Colectiva!Q59),Colectiva!Q59&gt;=12))),TRUE)</f>
        <v>0</v>
      </c>
      <c r="R74" s="40">
        <f>Colectiva!R59</f>
        <v>0</v>
      </c>
      <c r="S74" s="40" t="b">
        <f>IF(AND(Colectiva!M59="Trifásica",R74&gt;40),TRUE,IF(Colectiva!M59="Trifásica",IF(IFERROR(MATCH(R74,check!$H$23:$H$32,0),FALSE),TRUE),IF(IFERROR(MATCH(R74,check!$I$23:$I$45,0),FALSE),TRUE)))</f>
        <v>0</v>
      </c>
      <c r="T74" t="b">
        <f t="shared" si="3"/>
        <v>0</v>
      </c>
      <c r="U74" t="b">
        <f t="shared" si="4"/>
        <v>0</v>
      </c>
    </row>
    <row r="75" spans="2:21" x14ac:dyDescent="0.2">
      <c r="B75" s="52" t="str">
        <f>IF(B74=FALSE,"","*")</f>
        <v/>
      </c>
      <c r="E75" s="52">
        <f>Colectiva!H60</f>
        <v>0</v>
      </c>
      <c r="F75" s="52" t="b">
        <f>IF(AND(Colectiva!D60="Trifásica",E75&gt;40),TRUE,IF(Colectiva!D60="Trifásica",IF(IFERROR(MATCH(E75,check!$H$23:$H$32,0),FALSE),TRUE),IF(IFERROR(MATCH(E75,check!$I$23:$I$45,0),FALSE),TRUE)))</f>
        <v>0</v>
      </c>
      <c r="G75" s="52" t="b">
        <f t="shared" si="0"/>
        <v>0</v>
      </c>
      <c r="H75" t="b">
        <f>IF(AND(OR(Colectiva!E60=check!$D$14,Colectiva!E60=check!$D$16,Colectiva!E60=check!$D$17,Colectiva!E60=check!$D$18,Colectiva!E60=check!$D$19),OR(AND(ISNUMBER(Colectiva!H60),Colectiva!H60&gt;=12))),TRUE)</f>
        <v>0</v>
      </c>
      <c r="I75" s="40">
        <f>Colectiva!I60</f>
        <v>0</v>
      </c>
      <c r="J75" s="40" t="b">
        <f>IF(AND(Colectiva!D60="Trifásica",I75&gt;40),TRUE,IF(Colectiva!D60="Trifásica",IF(IFERROR(MATCH(I75,check!$H$23:$H$32,0),FALSE),TRUE),IF(IFERROR(MATCH(I75,check!$I$23:$I$45,0),FALSE),TRUE)))</f>
        <v>0</v>
      </c>
      <c r="K75" t="b">
        <f t="shared" si="5"/>
        <v>0</v>
      </c>
      <c r="L75" t="b">
        <f t="shared" si="6"/>
        <v>0</v>
      </c>
      <c r="N75" s="52">
        <f>Colectiva!Q60</f>
        <v>0</v>
      </c>
      <c r="O75" s="52" t="b">
        <f>IF(AND(Colectiva!M60="Trifásica",N75&gt;40),TRUE,IF(Colectiva!M60="Trifásica",IF(IFERROR(MATCH(N75,check!$H$23:$H$32,0),FALSE),TRUE),IF(IFERROR(MATCH(N75,check!$I$23:$I$45,0),FALSE),TRUE)))</f>
        <v>0</v>
      </c>
      <c r="P75" s="52" t="b">
        <f t="shared" si="2"/>
        <v>0</v>
      </c>
      <c r="Q75" t="b">
        <f>IF(AND(OR(Colectiva!N60=check!$D$14,Colectiva!N60=check!$D$16,Colectiva!N60=check!$D$17,Colectiva!N60=check!$D$18,Colectiva!N60=check!$D$19),OR(AND(ISNUMBER(Colectiva!Q60),Colectiva!Q60&gt;=12))),TRUE)</f>
        <v>0</v>
      </c>
      <c r="R75" s="40">
        <f>Colectiva!R60</f>
        <v>0</v>
      </c>
      <c r="S75" s="40" t="b">
        <f>IF(AND(Colectiva!M60="Trifásica",R75&gt;40),TRUE,IF(Colectiva!M60="Trifásica",IF(IFERROR(MATCH(R75,check!$H$23:$H$32,0),FALSE),TRUE),IF(IFERROR(MATCH(R75,check!$I$23:$I$45,0),FALSE),TRUE)))</f>
        <v>0</v>
      </c>
      <c r="T75" t="b">
        <f t="shared" si="3"/>
        <v>0</v>
      </c>
      <c r="U75" t="b">
        <f t="shared" si="4"/>
        <v>0</v>
      </c>
    </row>
    <row r="76" spans="2:21" x14ac:dyDescent="0.2">
      <c r="B76" s="51" t="s">
        <v>169</v>
      </c>
      <c r="E76" s="52">
        <f>Colectiva!H61</f>
        <v>0</v>
      </c>
      <c r="F76" s="52" t="b">
        <f>IF(AND(Colectiva!D61="Trifásica",E76&gt;40),TRUE,IF(Colectiva!D61="Trifásica",IF(IFERROR(MATCH(E76,check!$H$23:$H$32,0),FALSE),TRUE),IF(IFERROR(MATCH(E76,check!$I$23:$I$45,0),FALSE),TRUE)))</f>
        <v>0</v>
      </c>
      <c r="G76" s="52" t="b">
        <f t="shared" si="0"/>
        <v>0</v>
      </c>
      <c r="H76" t="b">
        <f>IF(AND(OR(Colectiva!E61=check!$D$14,Colectiva!E61=check!$D$16,Colectiva!E61=check!$D$17,Colectiva!E61=check!$D$18,Colectiva!E61=check!$D$19),OR(AND(ISNUMBER(Colectiva!H61),Colectiva!H61&gt;=12))),TRUE)</f>
        <v>0</v>
      </c>
      <c r="I76" s="40">
        <f>Colectiva!I61</f>
        <v>0</v>
      </c>
      <c r="J76" s="40" t="b">
        <f>IF(AND(Colectiva!D61="Trifásica",I76&gt;40),TRUE,IF(Colectiva!D61="Trifásica",IF(IFERROR(MATCH(I76,check!$H$23:$H$32,0),FALSE),TRUE),IF(IFERROR(MATCH(I76,check!$I$23:$I$45,0),FALSE),TRUE)))</f>
        <v>0</v>
      </c>
      <c r="K76" t="b">
        <f t="shared" si="5"/>
        <v>0</v>
      </c>
      <c r="L76" t="b">
        <f t="shared" si="6"/>
        <v>0</v>
      </c>
      <c r="N76" s="52">
        <f>Colectiva!Q61</f>
        <v>0</v>
      </c>
      <c r="O76" s="52" t="b">
        <f>IF(AND(Colectiva!M61="Trifásica",N76&gt;40),TRUE,IF(Colectiva!M61="Trifásica",IF(IFERROR(MATCH(N76,check!$H$23:$H$32,0),FALSE),TRUE),IF(IFERROR(MATCH(N76,check!$I$23:$I$45,0),FALSE),TRUE)))</f>
        <v>0</v>
      </c>
      <c r="P76" s="52" t="b">
        <f t="shared" si="2"/>
        <v>0</v>
      </c>
      <c r="Q76" t="b">
        <f>IF(AND(OR(Colectiva!N61=check!$D$14,Colectiva!N61=check!$D$16,Colectiva!N61=check!$D$17,Colectiva!N61=check!$D$18,Colectiva!N61=check!$D$19),OR(AND(ISNUMBER(Colectiva!Q61),Colectiva!Q61&gt;=12))),TRUE)</f>
        <v>0</v>
      </c>
      <c r="R76" s="40">
        <f>Colectiva!R61</f>
        <v>0</v>
      </c>
      <c r="S76" s="40" t="b">
        <f>IF(AND(Colectiva!M61="Trifásica",R76&gt;40),TRUE,IF(Colectiva!M61="Trifásica",IF(IFERROR(MATCH(R76,check!$H$23:$H$32,0),FALSE),TRUE),IF(IFERROR(MATCH(R76,check!$I$23:$I$45,0),FALSE),TRUE)))</f>
        <v>0</v>
      </c>
      <c r="T76" t="b">
        <f t="shared" si="3"/>
        <v>0</v>
      </c>
      <c r="U76" t="b">
        <f t="shared" si="4"/>
        <v>0</v>
      </c>
    </row>
    <row r="77" spans="2:21" x14ac:dyDescent="0.2">
      <c r="B77" s="52" t="str">
        <f>IF(Reconexion!B18="No","*","")</f>
        <v/>
      </c>
      <c r="E77" s="52">
        <f>Colectiva!H62</f>
        <v>0</v>
      </c>
      <c r="F77" s="52" t="b">
        <f>IF(AND(Colectiva!D62="Trifásica",E77&gt;40),TRUE,IF(Colectiva!D62="Trifásica",IF(IFERROR(MATCH(E77,check!$H$23:$H$32,0),FALSE),TRUE),IF(IFERROR(MATCH(E77,check!$I$23:$I$45,0),FALSE),TRUE)))</f>
        <v>0</v>
      </c>
      <c r="G77" s="52" t="b">
        <f t="shared" si="0"/>
        <v>0</v>
      </c>
      <c r="H77" t="b">
        <f>IF(AND(OR(Colectiva!E62=check!$D$14,Colectiva!E62=check!$D$16,Colectiva!E62=check!$D$17,Colectiva!E62=check!$D$18,Colectiva!E62=check!$D$19),OR(AND(ISNUMBER(Colectiva!H62),Colectiva!H62&gt;=12))),TRUE)</f>
        <v>0</v>
      </c>
      <c r="I77" s="40">
        <f>Colectiva!I62</f>
        <v>0</v>
      </c>
      <c r="J77" s="40" t="b">
        <f>IF(AND(Colectiva!D62="Trifásica",I77&gt;40),TRUE,IF(Colectiva!D62="Trifásica",IF(IFERROR(MATCH(I77,check!$H$23:$H$32,0),FALSE),TRUE),IF(IFERROR(MATCH(I77,check!$I$23:$I$45,0),FALSE),TRUE)))</f>
        <v>0</v>
      </c>
      <c r="K77" t="b">
        <f t="shared" si="5"/>
        <v>0</v>
      </c>
      <c r="L77" t="b">
        <f t="shared" si="6"/>
        <v>0</v>
      </c>
      <c r="N77" s="52">
        <f>Colectiva!Q62</f>
        <v>0</v>
      </c>
      <c r="O77" s="52" t="b">
        <f>IF(AND(Colectiva!M62="Trifásica",N77&gt;40),TRUE,IF(Colectiva!M62="Trifásica",IF(IFERROR(MATCH(N77,check!$H$23:$H$32,0),FALSE),TRUE),IF(IFERROR(MATCH(N77,check!$I$23:$I$45,0),FALSE),TRUE)))</f>
        <v>0</v>
      </c>
      <c r="P77" s="52" t="b">
        <f t="shared" si="2"/>
        <v>0</v>
      </c>
      <c r="Q77" t="b">
        <f>IF(AND(OR(Colectiva!N62=check!$D$14,Colectiva!N62=check!$D$16,Colectiva!N62=check!$D$17,Colectiva!N62=check!$D$18,Colectiva!N62=check!$D$19),OR(AND(ISNUMBER(Colectiva!Q62),Colectiva!Q62&gt;=12))),TRUE)</f>
        <v>0</v>
      </c>
      <c r="R77" s="40">
        <f>Colectiva!R62</f>
        <v>0</v>
      </c>
      <c r="S77" s="40" t="b">
        <f>IF(AND(Colectiva!M62="Trifásica",R77&gt;40),TRUE,IF(Colectiva!M62="Trifásica",IF(IFERROR(MATCH(R77,check!$H$23:$H$32,0),FALSE),TRUE),IF(IFERROR(MATCH(R77,check!$I$23:$I$45,0),FALSE),TRUE)))</f>
        <v>0</v>
      </c>
      <c r="T77" t="b">
        <f t="shared" si="3"/>
        <v>0</v>
      </c>
      <c r="U77" t="b">
        <f t="shared" si="4"/>
        <v>0</v>
      </c>
    </row>
    <row r="78" spans="2:21" x14ac:dyDescent="0.2">
      <c r="E78" s="52">
        <f>Colectiva!H63</f>
        <v>0</v>
      </c>
      <c r="F78" s="52" t="b">
        <f>IF(AND(Colectiva!D63="Trifásica",E78&gt;40),TRUE,IF(Colectiva!D63="Trifásica",IF(IFERROR(MATCH(E78,check!$H$23:$H$32,0),FALSE),TRUE),IF(IFERROR(MATCH(E78,check!$I$23:$I$45,0),FALSE),TRUE)))</f>
        <v>0</v>
      </c>
      <c r="G78" s="52" t="b">
        <f t="shared" si="0"/>
        <v>0</v>
      </c>
      <c r="H78" t="b">
        <f>IF(AND(OR(Colectiva!E63=check!$D$14,Colectiva!E63=check!$D$16,Colectiva!E63=check!$D$17,Colectiva!E63=check!$D$18,Colectiva!E63=check!$D$19),OR(AND(ISNUMBER(Colectiva!H63),Colectiva!H63&gt;=12))),TRUE)</f>
        <v>0</v>
      </c>
      <c r="I78" s="40">
        <f>Colectiva!I63</f>
        <v>0</v>
      </c>
      <c r="J78" s="40" t="b">
        <f>IF(AND(Colectiva!D63="Trifásica",I78&gt;40),TRUE,IF(Colectiva!D63="Trifásica",IF(IFERROR(MATCH(I78,check!$H$23:$H$32,0),FALSE),TRUE),IF(IFERROR(MATCH(I78,check!$I$23:$I$45,0),FALSE),TRUE)))</f>
        <v>0</v>
      </c>
      <c r="K78" t="b">
        <f t="shared" si="5"/>
        <v>0</v>
      </c>
      <c r="L78" t="b">
        <f t="shared" si="6"/>
        <v>0</v>
      </c>
      <c r="N78" s="52">
        <f>Colectiva!Q63</f>
        <v>0</v>
      </c>
      <c r="O78" s="52" t="b">
        <f>IF(AND(Colectiva!M63="Trifásica",N78&gt;40),TRUE,IF(Colectiva!M63="Trifásica",IF(IFERROR(MATCH(N78,check!$H$23:$H$32,0),FALSE),TRUE),IF(IFERROR(MATCH(N78,check!$I$23:$I$45,0),FALSE),TRUE)))</f>
        <v>0</v>
      </c>
      <c r="P78" s="52" t="b">
        <f t="shared" si="2"/>
        <v>0</v>
      </c>
      <c r="Q78" t="b">
        <f>IF(AND(OR(Colectiva!N63=check!$D$14,Colectiva!N63=check!$D$16,Colectiva!N63=check!$D$17,Colectiva!N63=check!$D$18,Colectiva!N63=check!$D$19),OR(AND(ISNUMBER(Colectiva!Q63),Colectiva!Q63&gt;=12))),TRUE)</f>
        <v>0</v>
      </c>
      <c r="R78" s="40">
        <f>Colectiva!R63</f>
        <v>0</v>
      </c>
      <c r="S78" s="40" t="b">
        <f>IF(AND(Colectiva!M63="Trifásica",R78&gt;40),TRUE,IF(Colectiva!M63="Trifásica",IF(IFERROR(MATCH(R78,check!$H$23:$H$32,0),FALSE),TRUE),IF(IFERROR(MATCH(R78,check!$I$23:$I$45,0),FALSE),TRUE)))</f>
        <v>0</v>
      </c>
      <c r="T78" t="b">
        <f t="shared" si="3"/>
        <v>0</v>
      </c>
      <c r="U78" t="b">
        <f t="shared" si="4"/>
        <v>0</v>
      </c>
    </row>
    <row r="79" spans="2:21" x14ac:dyDescent="0.2">
      <c r="E79" s="52">
        <f>Colectiva!H64</f>
        <v>0</v>
      </c>
      <c r="F79" s="52" t="b">
        <f>IF(AND(Colectiva!D64="Trifásica",E79&gt;40),TRUE,IF(Colectiva!D64="Trifásica",IF(IFERROR(MATCH(E79,check!$H$23:$H$32,0),FALSE),TRUE),IF(IFERROR(MATCH(E79,check!$I$23:$I$45,0),FALSE),TRUE)))</f>
        <v>0</v>
      </c>
      <c r="G79" s="52" t="b">
        <f t="shared" si="0"/>
        <v>0</v>
      </c>
      <c r="H79" t="b">
        <f>IF(AND(OR(Colectiva!E64=check!$D$14,Colectiva!E64=check!$D$16,Colectiva!E64=check!$D$17,Colectiva!E64=check!$D$18,Colectiva!E64=check!$D$19),OR(AND(ISNUMBER(Colectiva!H64),Colectiva!H64&gt;=12))),TRUE)</f>
        <v>0</v>
      </c>
      <c r="I79" s="40">
        <f>Colectiva!I64</f>
        <v>0</v>
      </c>
      <c r="J79" s="40" t="b">
        <f>IF(AND(Colectiva!D64="Trifásica",I79&gt;40),TRUE,IF(Colectiva!D64="Trifásica",IF(IFERROR(MATCH(I79,check!$H$23:$H$32,0),FALSE),TRUE),IF(IFERROR(MATCH(I79,check!$I$23:$I$45,0),FALSE),TRUE)))</f>
        <v>0</v>
      </c>
      <c r="K79" t="b">
        <f t="shared" si="5"/>
        <v>0</v>
      </c>
      <c r="L79" t="b">
        <f t="shared" si="6"/>
        <v>0</v>
      </c>
      <c r="N79" s="52">
        <f>Colectiva!Q64</f>
        <v>0</v>
      </c>
      <c r="O79" s="52" t="b">
        <f>IF(AND(Colectiva!M64="Trifásica",N79&gt;40),TRUE,IF(Colectiva!M64="Trifásica",IF(IFERROR(MATCH(N79,check!$H$23:$H$32,0),FALSE),TRUE),IF(IFERROR(MATCH(N79,check!$I$23:$I$45,0),FALSE),TRUE)))</f>
        <v>0</v>
      </c>
      <c r="P79" s="52" t="b">
        <f t="shared" si="2"/>
        <v>0</v>
      </c>
      <c r="Q79" t="b">
        <f>IF(AND(OR(Colectiva!N64=check!$D$14,Colectiva!N64=check!$D$16,Colectiva!N64=check!$D$17,Colectiva!N64=check!$D$18,Colectiva!N64=check!$D$19),OR(AND(ISNUMBER(Colectiva!Q64),Colectiva!Q64&gt;=12))),TRUE)</f>
        <v>0</v>
      </c>
      <c r="R79" s="40">
        <f>Colectiva!R64</f>
        <v>0</v>
      </c>
      <c r="S79" s="40" t="b">
        <f>IF(AND(Colectiva!M64="Trifásica",R79&gt;40),TRUE,IF(Colectiva!M64="Trifásica",IF(IFERROR(MATCH(R79,check!$H$23:$H$32,0),FALSE),TRUE),IF(IFERROR(MATCH(R79,check!$I$23:$I$45,0),FALSE),TRUE)))</f>
        <v>0</v>
      </c>
      <c r="T79" t="b">
        <f t="shared" si="3"/>
        <v>0</v>
      </c>
      <c r="U79" t="b">
        <f t="shared" si="4"/>
        <v>0</v>
      </c>
    </row>
    <row r="80" spans="2:21" x14ac:dyDescent="0.2">
      <c r="E80" s="52">
        <f>Colectiva!H65</f>
        <v>0</v>
      </c>
      <c r="F80" s="52" t="b">
        <f>IF(AND(Colectiva!D65="Trifásica",E80&gt;40),TRUE,IF(Colectiva!D65="Trifásica",IF(IFERROR(MATCH(E80,check!$H$23:$H$32,0),FALSE),TRUE),IF(IFERROR(MATCH(E80,check!$I$23:$I$45,0),FALSE),TRUE)))</f>
        <v>0</v>
      </c>
      <c r="G80" s="52" t="b">
        <f t="shared" si="0"/>
        <v>0</v>
      </c>
      <c r="H80" t="b">
        <f>IF(AND(OR(Colectiva!E65=check!$D$14,Colectiva!E65=check!$D$16,Colectiva!E65=check!$D$17,Colectiva!E65=check!$D$18,Colectiva!E65=check!$D$19),OR(AND(ISNUMBER(Colectiva!H65),Colectiva!H65&gt;=12))),TRUE)</f>
        <v>0</v>
      </c>
      <c r="I80" s="40">
        <f>Colectiva!I65</f>
        <v>0</v>
      </c>
      <c r="J80" s="40" t="b">
        <f>IF(AND(Colectiva!D65="Trifásica",I80&gt;40),TRUE,IF(Colectiva!D65="Trifásica",IF(IFERROR(MATCH(I80,check!$H$23:$H$32,0),FALSE),TRUE),IF(IFERROR(MATCH(I80,check!$I$23:$I$45,0),FALSE),TRUE)))</f>
        <v>0</v>
      </c>
      <c r="K80" t="b">
        <f t="shared" si="5"/>
        <v>0</v>
      </c>
      <c r="L80" t="b">
        <f t="shared" si="6"/>
        <v>0</v>
      </c>
      <c r="N80" s="52">
        <f>Colectiva!Q65</f>
        <v>0</v>
      </c>
      <c r="O80" s="52" t="b">
        <f>IF(AND(Colectiva!M65="Trifásica",N80&gt;40),TRUE,IF(Colectiva!M65="Trifásica",IF(IFERROR(MATCH(N80,check!$H$23:$H$32,0),FALSE),TRUE),IF(IFERROR(MATCH(N80,check!$I$23:$I$45,0),FALSE),TRUE)))</f>
        <v>0</v>
      </c>
      <c r="P80" s="52" t="b">
        <f t="shared" si="2"/>
        <v>0</v>
      </c>
      <c r="Q80" t="b">
        <f>IF(AND(OR(Colectiva!N65=check!$D$14,Colectiva!N65=check!$D$16,Colectiva!N65=check!$D$17,Colectiva!N65=check!$D$18,Colectiva!N65=check!$D$19),OR(AND(ISNUMBER(Colectiva!Q65),Colectiva!Q65&gt;=12))),TRUE)</f>
        <v>0</v>
      </c>
      <c r="R80" s="40">
        <f>Colectiva!R65</f>
        <v>0</v>
      </c>
      <c r="S80" s="40" t="b">
        <f>IF(AND(Colectiva!M65="Trifásica",R80&gt;40),TRUE,IF(Colectiva!M65="Trifásica",IF(IFERROR(MATCH(R80,check!$H$23:$H$32,0),FALSE),TRUE),IF(IFERROR(MATCH(R80,check!$I$23:$I$45,0),FALSE),TRUE)))</f>
        <v>0</v>
      </c>
      <c r="T80" t="b">
        <f t="shared" si="3"/>
        <v>0</v>
      </c>
      <c r="U80" t="b">
        <f t="shared" si="4"/>
        <v>0</v>
      </c>
    </row>
    <row r="81" spans="5:21" x14ac:dyDescent="0.2">
      <c r="E81" s="52">
        <f>Colectiva!H66</f>
        <v>0</v>
      </c>
      <c r="F81" s="52" t="b">
        <f>IF(AND(Colectiva!D66="Trifásica",E81&gt;40),TRUE,IF(Colectiva!D66="Trifásica",IF(IFERROR(MATCH(E81,check!$H$23:$H$32,0),FALSE),TRUE),IF(IFERROR(MATCH(E81,check!$I$23:$I$45,0),FALSE),TRUE)))</f>
        <v>0</v>
      </c>
      <c r="G81" s="52" t="b">
        <f t="shared" si="0"/>
        <v>0</v>
      </c>
      <c r="H81" t="b">
        <f>IF(AND(OR(Colectiva!E66=check!$D$14,Colectiva!E66=check!$D$16,Colectiva!E66=check!$D$17,Colectiva!E66=check!$D$18,Colectiva!E66=check!$D$19),OR(AND(ISNUMBER(Colectiva!H66),Colectiva!H66&gt;=12))),TRUE)</f>
        <v>0</v>
      </c>
      <c r="I81" s="40">
        <f>Colectiva!I66</f>
        <v>0</v>
      </c>
      <c r="J81" s="40" t="b">
        <f>IF(AND(Colectiva!D66="Trifásica",I81&gt;40),TRUE,IF(Colectiva!D66="Trifásica",IF(IFERROR(MATCH(I81,check!$H$23:$H$32,0),FALSE),TRUE),IF(IFERROR(MATCH(I81,check!$I$23:$I$45,0),FALSE),TRUE)))</f>
        <v>0</v>
      </c>
      <c r="K81" t="b">
        <f t="shared" si="5"/>
        <v>0</v>
      </c>
      <c r="L81" t="b">
        <f t="shared" si="6"/>
        <v>0</v>
      </c>
      <c r="N81" s="52">
        <f>Colectiva!Q66</f>
        <v>0</v>
      </c>
      <c r="O81" s="52" t="b">
        <f>IF(AND(Colectiva!M66="Trifásica",N81&gt;40),TRUE,IF(Colectiva!M66="Trifásica",IF(IFERROR(MATCH(N81,check!$H$23:$H$32,0),FALSE),TRUE),IF(IFERROR(MATCH(N81,check!$I$23:$I$45,0),FALSE),TRUE)))</f>
        <v>0</v>
      </c>
      <c r="P81" s="52" t="b">
        <f t="shared" si="2"/>
        <v>0</v>
      </c>
      <c r="Q81" t="b">
        <f>IF(AND(OR(Colectiva!N66=check!$D$14,Colectiva!N66=check!$D$16,Colectiva!N66=check!$D$17,Colectiva!N66=check!$D$18,Colectiva!N66=check!$D$19),OR(AND(ISNUMBER(Colectiva!Q66),Colectiva!Q66&gt;=12))),TRUE)</f>
        <v>0</v>
      </c>
      <c r="R81" s="40">
        <f>Colectiva!R66</f>
        <v>0</v>
      </c>
      <c r="S81" s="40" t="b">
        <f>IF(AND(Colectiva!M66="Trifásica",R81&gt;40),TRUE,IF(Colectiva!M66="Trifásica",IF(IFERROR(MATCH(R81,check!$H$23:$H$32,0),FALSE),TRUE),IF(IFERROR(MATCH(R81,check!$I$23:$I$45,0),FALSE),TRUE)))</f>
        <v>0</v>
      </c>
      <c r="T81" t="b">
        <f t="shared" si="3"/>
        <v>0</v>
      </c>
      <c r="U81" t="b">
        <f t="shared" si="4"/>
        <v>0</v>
      </c>
    </row>
    <row r="82" spans="5:21" x14ac:dyDescent="0.2">
      <c r="E82" s="52">
        <f>Colectiva!H67</f>
        <v>0</v>
      </c>
      <c r="F82" s="52" t="b">
        <f>IF(AND(Colectiva!D67="Trifásica",E82&gt;40),TRUE,IF(Colectiva!D67="Trifásica",IF(IFERROR(MATCH(E82,check!$H$23:$H$32,0),FALSE),TRUE),IF(IFERROR(MATCH(E82,check!$I$23:$I$45,0),FALSE),TRUE)))</f>
        <v>0</v>
      </c>
      <c r="G82" s="52" t="b">
        <f t="shared" si="0"/>
        <v>0</v>
      </c>
      <c r="H82" t="b">
        <f>IF(AND(OR(Colectiva!E67=check!$D$14,Colectiva!E67=check!$D$16,Colectiva!E67=check!$D$17,Colectiva!E67=check!$D$18,Colectiva!E67=check!$D$19),OR(AND(ISNUMBER(Colectiva!H67),Colectiva!H67&gt;=12))),TRUE)</f>
        <v>0</v>
      </c>
      <c r="I82" s="40">
        <f>Colectiva!I67</f>
        <v>0</v>
      </c>
      <c r="J82" s="40" t="b">
        <f>IF(AND(Colectiva!D67="Trifásica",I82&gt;40),TRUE,IF(Colectiva!D67="Trifásica",IF(IFERROR(MATCH(I82,check!$H$23:$H$32,0),FALSE),TRUE),IF(IFERROR(MATCH(I82,check!$I$23:$I$45,0),FALSE),TRUE)))</f>
        <v>0</v>
      </c>
      <c r="K82" t="b">
        <f t="shared" si="5"/>
        <v>0</v>
      </c>
      <c r="L82" t="b">
        <f t="shared" si="6"/>
        <v>0</v>
      </c>
      <c r="N82" s="52">
        <f>Colectiva!Q67</f>
        <v>0</v>
      </c>
      <c r="O82" s="52" t="b">
        <f>IF(AND(Colectiva!M67="Trifásica",N82&gt;40),TRUE,IF(Colectiva!M67="Trifásica",IF(IFERROR(MATCH(N82,check!$H$23:$H$32,0),FALSE),TRUE),IF(IFERROR(MATCH(N82,check!$I$23:$I$45,0),FALSE),TRUE)))</f>
        <v>0</v>
      </c>
      <c r="P82" s="52" t="b">
        <f t="shared" si="2"/>
        <v>0</v>
      </c>
      <c r="Q82" t="b">
        <f>IF(AND(OR(Colectiva!N67=check!$D$14,Colectiva!N67=check!$D$16,Colectiva!N67=check!$D$17,Colectiva!N67=check!$D$18,Colectiva!N67=check!$D$19),OR(AND(ISNUMBER(Colectiva!Q67),Colectiva!Q67&gt;=12))),TRUE)</f>
        <v>0</v>
      </c>
      <c r="R82" s="40">
        <f>Colectiva!R67</f>
        <v>0</v>
      </c>
      <c r="S82" s="40" t="b">
        <f>IF(AND(Colectiva!M67="Trifásica",R82&gt;40),TRUE,IF(Colectiva!M67="Trifásica",IF(IFERROR(MATCH(R82,check!$H$23:$H$32,0),FALSE),TRUE),IF(IFERROR(MATCH(R82,check!$I$23:$I$45,0),FALSE),TRUE)))</f>
        <v>0</v>
      </c>
      <c r="T82" t="b">
        <f t="shared" si="3"/>
        <v>0</v>
      </c>
      <c r="U82" t="b">
        <f t="shared" si="4"/>
        <v>0</v>
      </c>
    </row>
    <row r="83" spans="5:21" x14ac:dyDescent="0.2">
      <c r="E83" s="52">
        <f>Colectiva!H68</f>
        <v>0</v>
      </c>
      <c r="F83" s="52" t="b">
        <f>IF(AND(Colectiva!D68="Trifásica",E83&gt;40),TRUE,IF(Colectiva!D68="Trifásica",IF(IFERROR(MATCH(E83,check!$H$23:$H$32,0),FALSE),TRUE),IF(IFERROR(MATCH(E83,check!$I$23:$I$45,0),FALSE),TRUE)))</f>
        <v>0</v>
      </c>
      <c r="G83" s="52" t="b">
        <f t="shared" si="0"/>
        <v>0</v>
      </c>
      <c r="H83" t="b">
        <f>IF(AND(OR(Colectiva!E68=check!$D$14,Colectiva!E68=check!$D$16,Colectiva!E68=check!$D$17,Colectiva!E68=check!$D$18,Colectiva!E68=check!$D$19),OR(AND(ISNUMBER(Colectiva!H68),Colectiva!H68&gt;=12))),TRUE)</f>
        <v>0</v>
      </c>
      <c r="I83" s="40">
        <f>Colectiva!I68</f>
        <v>0</v>
      </c>
      <c r="J83" s="40" t="b">
        <f>IF(AND(Colectiva!D68="Trifásica",I83&gt;40),TRUE,IF(Colectiva!D68="Trifásica",IF(IFERROR(MATCH(I83,check!$H$23:$H$32,0),FALSE),TRUE),IF(IFERROR(MATCH(I83,check!$I$23:$I$45,0),FALSE),TRUE)))</f>
        <v>0</v>
      </c>
      <c r="K83" t="b">
        <f t="shared" si="5"/>
        <v>0</v>
      </c>
      <c r="L83" t="b">
        <f t="shared" si="6"/>
        <v>0</v>
      </c>
      <c r="N83" s="52">
        <f>Colectiva!Q68</f>
        <v>0</v>
      </c>
      <c r="O83" s="52" t="b">
        <f>IF(AND(Colectiva!M68="Trifásica",N83&gt;40),TRUE,IF(Colectiva!M68="Trifásica",IF(IFERROR(MATCH(N83,check!$H$23:$H$32,0),FALSE),TRUE),IF(IFERROR(MATCH(N83,check!$I$23:$I$45,0),FALSE),TRUE)))</f>
        <v>0</v>
      </c>
      <c r="P83" s="52" t="b">
        <f t="shared" si="2"/>
        <v>0</v>
      </c>
      <c r="Q83" t="b">
        <f>IF(AND(OR(Colectiva!N68=check!$D$14,Colectiva!N68=check!$D$16,Colectiva!N68=check!$D$17,Colectiva!N68=check!$D$18,Colectiva!N68=check!$D$19),OR(AND(ISNUMBER(Colectiva!Q68),Colectiva!Q68&gt;=12))),TRUE)</f>
        <v>0</v>
      </c>
      <c r="R83" s="40">
        <f>Colectiva!R68</f>
        <v>0</v>
      </c>
      <c r="S83" s="40" t="b">
        <f>IF(AND(Colectiva!M68="Trifásica",R83&gt;40),TRUE,IF(Colectiva!M68="Trifásica",IF(IFERROR(MATCH(R83,check!$H$23:$H$32,0),FALSE),TRUE),IF(IFERROR(MATCH(R83,check!$I$23:$I$45,0),FALSE),TRUE)))</f>
        <v>0</v>
      </c>
      <c r="T83" t="b">
        <f t="shared" si="3"/>
        <v>0</v>
      </c>
      <c r="U83" t="b">
        <f t="shared" si="4"/>
        <v>0</v>
      </c>
    </row>
    <row r="84" spans="5:21" x14ac:dyDescent="0.2">
      <c r="E84" s="52">
        <f>Colectiva!H69</f>
        <v>0</v>
      </c>
      <c r="F84" s="52" t="b">
        <f>IF(AND(Colectiva!D69="Trifásica",E84&gt;40),TRUE,IF(Colectiva!D69="Trifásica",IF(IFERROR(MATCH(E84,check!$H$23:$H$32,0),FALSE),TRUE),IF(IFERROR(MATCH(E84,check!$I$23:$I$45,0),FALSE),TRUE)))</f>
        <v>0</v>
      </c>
      <c r="G84" s="52" t="b">
        <f t="shared" si="0"/>
        <v>0</v>
      </c>
      <c r="H84" t="b">
        <f>IF(AND(OR(Colectiva!E69=check!$D$14,Colectiva!E69=check!$D$16,Colectiva!E69=check!$D$17,Colectiva!E69=check!$D$18,Colectiva!E69=check!$D$19),OR(AND(ISNUMBER(Colectiva!H69),Colectiva!H69&gt;=12))),TRUE)</f>
        <v>0</v>
      </c>
      <c r="I84" s="40">
        <f>Colectiva!I69</f>
        <v>0</v>
      </c>
      <c r="J84" s="40" t="b">
        <f>IF(AND(Colectiva!D69="Trifásica",I84&gt;40),TRUE,IF(Colectiva!D69="Trifásica",IF(IFERROR(MATCH(I84,check!$H$23:$H$32,0),FALSE),TRUE),IF(IFERROR(MATCH(I84,check!$I$23:$I$45,0),FALSE),TRUE)))</f>
        <v>0</v>
      </c>
      <c r="K84" t="b">
        <f t="shared" si="5"/>
        <v>0</v>
      </c>
      <c r="L84" t="b">
        <f t="shared" si="6"/>
        <v>0</v>
      </c>
      <c r="N84" s="52">
        <f>Colectiva!Q69</f>
        <v>0</v>
      </c>
      <c r="O84" s="52" t="b">
        <f>IF(AND(Colectiva!M69="Trifásica",N84&gt;40),TRUE,IF(Colectiva!M69="Trifásica",IF(IFERROR(MATCH(N84,check!$H$23:$H$32,0),FALSE),TRUE),IF(IFERROR(MATCH(N84,check!$I$23:$I$45,0),FALSE),TRUE)))</f>
        <v>0</v>
      </c>
      <c r="P84" s="52" t="b">
        <f t="shared" si="2"/>
        <v>0</v>
      </c>
      <c r="Q84" t="b">
        <f>IF(AND(OR(Colectiva!N69=check!$D$14,Colectiva!N69=check!$D$16,Colectiva!N69=check!$D$17,Colectiva!N69=check!$D$18,Colectiva!N69=check!$D$19),OR(AND(ISNUMBER(Colectiva!Q69),Colectiva!Q69&gt;=12))),TRUE)</f>
        <v>0</v>
      </c>
      <c r="R84" s="40">
        <f>Colectiva!R69</f>
        <v>0</v>
      </c>
      <c r="S84" s="40" t="b">
        <f>IF(AND(Colectiva!M69="Trifásica",R84&gt;40),TRUE,IF(Colectiva!M69="Trifásica",IF(IFERROR(MATCH(R84,check!$H$23:$H$32,0),FALSE),TRUE),IF(IFERROR(MATCH(R84,check!$I$23:$I$45,0),FALSE),TRUE)))</f>
        <v>0</v>
      </c>
      <c r="T84" t="b">
        <f t="shared" si="3"/>
        <v>0</v>
      </c>
      <c r="U84" t="b">
        <f t="shared" si="4"/>
        <v>0</v>
      </c>
    </row>
    <row r="85" spans="5:21" x14ac:dyDescent="0.2">
      <c r="E85" s="52">
        <f>Colectiva!H70</f>
        <v>0</v>
      </c>
      <c r="F85" s="52" t="b">
        <f>IF(AND(Colectiva!D70="Trifásica",E85&gt;40),TRUE,IF(Colectiva!D70="Trifásica",IF(IFERROR(MATCH(E85,check!$H$23:$H$32,0),FALSE),TRUE),IF(IFERROR(MATCH(E85,check!$I$23:$I$45,0),FALSE),TRUE)))</f>
        <v>0</v>
      </c>
      <c r="G85" s="52" t="b">
        <f t="shared" si="0"/>
        <v>0</v>
      </c>
      <c r="H85" t="b">
        <f>IF(AND(OR(Colectiva!E70=check!$D$14,Colectiva!E70=check!$D$16,Colectiva!E70=check!$D$17,Colectiva!E70=check!$D$18,Colectiva!E70=check!$D$19),OR(AND(ISNUMBER(Colectiva!H70),Colectiva!H70&gt;=12))),TRUE)</f>
        <v>0</v>
      </c>
      <c r="I85" s="40">
        <f>Colectiva!I70</f>
        <v>0</v>
      </c>
      <c r="J85" s="40" t="b">
        <f>IF(AND(Colectiva!D70="Trifásica",I85&gt;40),TRUE,IF(Colectiva!D70="Trifásica",IF(IFERROR(MATCH(I85,check!$H$23:$H$32,0),FALSE),TRUE),IF(IFERROR(MATCH(I85,check!$I$23:$I$45,0),FALSE),TRUE)))</f>
        <v>0</v>
      </c>
      <c r="K85" t="b">
        <f t="shared" si="5"/>
        <v>0</v>
      </c>
      <c r="L85" t="b">
        <f t="shared" si="6"/>
        <v>0</v>
      </c>
      <c r="N85" s="52">
        <f>Colectiva!Q70</f>
        <v>0</v>
      </c>
      <c r="O85" s="52" t="b">
        <f>IF(AND(Colectiva!M70="Trifásica",N85&gt;40),TRUE,IF(Colectiva!M70="Trifásica",IF(IFERROR(MATCH(N85,check!$H$23:$H$32,0),FALSE),TRUE),IF(IFERROR(MATCH(N85,check!$I$23:$I$45,0),FALSE),TRUE)))</f>
        <v>0</v>
      </c>
      <c r="P85" s="52" t="b">
        <f t="shared" si="2"/>
        <v>0</v>
      </c>
      <c r="Q85" t="b">
        <f>IF(AND(OR(Colectiva!N70=check!$D$14,Colectiva!N70=check!$D$16,Colectiva!N70=check!$D$17,Colectiva!N70=check!$D$18,Colectiva!N70=check!$D$19),OR(AND(ISNUMBER(Colectiva!Q70),Colectiva!Q70&gt;=12))),TRUE)</f>
        <v>0</v>
      </c>
      <c r="R85" s="40">
        <f>Colectiva!R70</f>
        <v>0</v>
      </c>
      <c r="S85" s="40" t="b">
        <f>IF(AND(Colectiva!M70="Trifásica",R85&gt;40),TRUE,IF(Colectiva!M70="Trifásica",IF(IFERROR(MATCH(R85,check!$H$23:$H$32,0),FALSE),TRUE),IF(IFERROR(MATCH(R85,check!$I$23:$I$45,0),FALSE),TRUE)))</f>
        <v>0</v>
      </c>
      <c r="T85" t="b">
        <f t="shared" si="3"/>
        <v>0</v>
      </c>
      <c r="U85" t="b">
        <f t="shared" si="4"/>
        <v>0</v>
      </c>
    </row>
    <row r="86" spans="5:21" x14ac:dyDescent="0.2">
      <c r="E86" s="52">
        <f>Colectiva!H71</f>
        <v>0</v>
      </c>
      <c r="F86" s="52" t="b">
        <f>IF(AND(Colectiva!D71="Trifásica",E86&gt;40),TRUE,IF(Colectiva!D71="Trifásica",IF(IFERROR(MATCH(E86,check!$H$23:$H$32,0),FALSE),TRUE),IF(IFERROR(MATCH(E86,check!$I$23:$I$45,0),FALSE),TRUE)))</f>
        <v>0</v>
      </c>
      <c r="G86" s="52" t="b">
        <f t="shared" si="0"/>
        <v>0</v>
      </c>
      <c r="H86" t="b">
        <f>IF(AND(OR(Colectiva!E71=check!$D$14,Colectiva!E71=check!$D$16,Colectiva!E71=check!$D$17,Colectiva!E71=check!$D$18,Colectiva!E71=check!$D$19),OR(AND(ISNUMBER(Colectiva!H71),Colectiva!H71&gt;=12))),TRUE)</f>
        <v>0</v>
      </c>
      <c r="I86" s="40">
        <f>Colectiva!I71</f>
        <v>0</v>
      </c>
      <c r="J86" s="40" t="b">
        <f>IF(AND(Colectiva!D71="Trifásica",I86&gt;40),TRUE,IF(Colectiva!D71="Trifásica",IF(IFERROR(MATCH(I86,check!$H$23:$H$32,0),FALSE),TRUE),IF(IFERROR(MATCH(I86,check!$I$23:$I$45,0),FALSE),TRUE)))</f>
        <v>0</v>
      </c>
      <c r="K86" t="b">
        <f t="shared" si="5"/>
        <v>0</v>
      </c>
      <c r="L86" t="b">
        <f t="shared" si="6"/>
        <v>0</v>
      </c>
      <c r="N86" s="52">
        <f>Colectiva!Q71</f>
        <v>0</v>
      </c>
      <c r="O86" s="52" t="b">
        <f>IF(AND(Colectiva!M71="Trifásica",N86&gt;40),TRUE,IF(Colectiva!M71="Trifásica",IF(IFERROR(MATCH(N86,check!$H$23:$H$32,0),FALSE),TRUE),IF(IFERROR(MATCH(N86,check!$I$23:$I$45,0),FALSE),TRUE)))</f>
        <v>0</v>
      </c>
      <c r="P86" s="52" t="b">
        <f t="shared" si="2"/>
        <v>0</v>
      </c>
      <c r="Q86" t="b">
        <f>IF(AND(OR(Colectiva!N71=check!$D$14,Colectiva!N71=check!$D$16,Colectiva!N71=check!$D$17,Colectiva!N71=check!$D$18,Colectiva!N71=check!$D$19),OR(AND(ISNUMBER(Colectiva!Q71),Colectiva!Q71&gt;=12))),TRUE)</f>
        <v>0</v>
      </c>
      <c r="R86" s="40">
        <f>Colectiva!R71</f>
        <v>0</v>
      </c>
      <c r="S86" s="40" t="b">
        <f>IF(AND(Colectiva!M71="Trifásica",R86&gt;40),TRUE,IF(Colectiva!M71="Trifásica",IF(IFERROR(MATCH(R86,check!$H$23:$H$32,0),FALSE),TRUE),IF(IFERROR(MATCH(R86,check!$I$23:$I$45,0),FALSE),TRUE)))</f>
        <v>0</v>
      </c>
      <c r="T86" t="b">
        <f t="shared" si="3"/>
        <v>0</v>
      </c>
      <c r="U86" t="b">
        <f t="shared" si="4"/>
        <v>0</v>
      </c>
    </row>
    <row r="87" spans="5:21" x14ac:dyDescent="0.2">
      <c r="E87" s="52">
        <f>Colectiva!H72</f>
        <v>0</v>
      </c>
      <c r="F87" s="52" t="b">
        <f>IF(AND(Colectiva!D72="Trifásica",E87&gt;40),TRUE,IF(Colectiva!D72="Trifásica",IF(IFERROR(MATCH(E87,check!$H$23:$H$32,0),FALSE),TRUE),IF(IFERROR(MATCH(E87,check!$I$23:$I$45,0),FALSE),TRUE)))</f>
        <v>0</v>
      </c>
      <c r="G87" s="52" t="b">
        <f t="shared" si="0"/>
        <v>0</v>
      </c>
      <c r="H87" t="b">
        <f>IF(AND(OR(Colectiva!E72=check!$D$14,Colectiva!E72=check!$D$16,Colectiva!E72=check!$D$17,Colectiva!E72=check!$D$18,Colectiva!E72=check!$D$19),OR(AND(ISNUMBER(Colectiva!H72),Colectiva!H72&gt;=12))),TRUE)</f>
        <v>0</v>
      </c>
      <c r="I87" s="40">
        <f>Colectiva!I72</f>
        <v>0</v>
      </c>
      <c r="J87" s="40" t="b">
        <f>IF(AND(Colectiva!D72="Trifásica",I87&gt;40),TRUE,IF(Colectiva!D72="Trifásica",IF(IFERROR(MATCH(I87,check!$H$23:$H$32,0),FALSE),TRUE),IF(IFERROR(MATCH(I87,check!$I$23:$I$45,0),FALSE),TRUE)))</f>
        <v>0</v>
      </c>
      <c r="K87" t="b">
        <f t="shared" si="5"/>
        <v>0</v>
      </c>
      <c r="L87" t="b">
        <f t="shared" si="6"/>
        <v>0</v>
      </c>
      <c r="N87" s="52">
        <f>Colectiva!Q72</f>
        <v>0</v>
      </c>
      <c r="O87" s="52" t="b">
        <f>IF(AND(Colectiva!M72="Trifásica",N87&gt;40),TRUE,IF(Colectiva!M72="Trifásica",IF(IFERROR(MATCH(N87,check!$H$23:$H$32,0),FALSE),TRUE),IF(IFERROR(MATCH(N87,check!$I$23:$I$45,0),FALSE),TRUE)))</f>
        <v>0</v>
      </c>
      <c r="P87" s="52" t="b">
        <f t="shared" si="2"/>
        <v>0</v>
      </c>
      <c r="Q87" t="b">
        <f>IF(AND(OR(Colectiva!N72=check!$D$14,Colectiva!N72=check!$D$16,Colectiva!N72=check!$D$17,Colectiva!N72=check!$D$18,Colectiva!N72=check!$D$19),OR(AND(ISNUMBER(Colectiva!Q72),Colectiva!Q72&gt;=12))),TRUE)</f>
        <v>0</v>
      </c>
      <c r="R87" s="40">
        <f>Colectiva!R72</f>
        <v>0</v>
      </c>
      <c r="S87" s="40" t="b">
        <f>IF(AND(Colectiva!M72="Trifásica",R87&gt;40),TRUE,IF(Colectiva!M72="Trifásica",IF(IFERROR(MATCH(R87,check!$H$23:$H$32,0),FALSE),TRUE),IF(IFERROR(MATCH(R87,check!$I$23:$I$45,0),FALSE),TRUE)))</f>
        <v>0</v>
      </c>
      <c r="T87" t="b">
        <f t="shared" si="3"/>
        <v>0</v>
      </c>
      <c r="U87" t="b">
        <f t="shared" si="4"/>
        <v>0</v>
      </c>
    </row>
    <row r="88" spans="5:21" x14ac:dyDescent="0.2">
      <c r="E88" s="52">
        <f>Colectiva!H73</f>
        <v>0</v>
      </c>
      <c r="F88" s="52" t="b">
        <f>IF(AND(Colectiva!D73="Trifásica",E88&gt;40),TRUE,IF(Colectiva!D73="Trifásica",IF(IFERROR(MATCH(E88,check!$H$23:$H$32,0),FALSE),TRUE),IF(IFERROR(MATCH(E88,check!$I$23:$I$45,0),FALSE),TRUE)))</f>
        <v>0</v>
      </c>
      <c r="G88" s="52" t="b">
        <f t="shared" si="0"/>
        <v>0</v>
      </c>
      <c r="H88" t="b">
        <f>IF(AND(OR(Colectiva!E73=check!$D$14,Colectiva!E73=check!$D$16,Colectiva!E73=check!$D$17,Colectiva!E73=check!$D$18,Colectiva!E73=check!$D$19),OR(AND(ISNUMBER(Colectiva!H73),Colectiva!H73&gt;=12))),TRUE)</f>
        <v>0</v>
      </c>
      <c r="I88" s="40">
        <f>Colectiva!I73</f>
        <v>0</v>
      </c>
      <c r="J88" s="40" t="b">
        <f>IF(AND(Colectiva!D73="Trifásica",I88&gt;40),TRUE,IF(Colectiva!D73="Trifásica",IF(IFERROR(MATCH(I88,check!$H$23:$H$32,0),FALSE),TRUE),IF(IFERROR(MATCH(I88,check!$I$23:$I$45,0),FALSE),TRUE)))</f>
        <v>0</v>
      </c>
      <c r="K88" t="b">
        <f t="shared" si="5"/>
        <v>0</v>
      </c>
      <c r="L88" t="b">
        <f t="shared" si="6"/>
        <v>0</v>
      </c>
      <c r="N88" s="52">
        <f>Colectiva!Q73</f>
        <v>0</v>
      </c>
      <c r="O88" s="52" t="b">
        <f>IF(AND(Colectiva!M73="Trifásica",N88&gt;40),TRUE,IF(Colectiva!M73="Trifásica",IF(IFERROR(MATCH(N88,check!$H$23:$H$32,0),FALSE),TRUE),IF(IFERROR(MATCH(N88,check!$I$23:$I$45,0),FALSE),TRUE)))</f>
        <v>0</v>
      </c>
      <c r="P88" s="52" t="b">
        <f t="shared" si="2"/>
        <v>0</v>
      </c>
      <c r="Q88" t="b">
        <f>IF(AND(OR(Colectiva!N73=check!$D$14,Colectiva!N73=check!$D$16,Colectiva!N73=check!$D$17,Colectiva!N73=check!$D$18,Colectiva!N73=check!$D$19),OR(AND(ISNUMBER(Colectiva!Q73),Colectiva!Q73&gt;=12))),TRUE)</f>
        <v>0</v>
      </c>
      <c r="R88" s="40">
        <f>Colectiva!R73</f>
        <v>0</v>
      </c>
      <c r="S88" s="40" t="b">
        <f>IF(AND(Colectiva!M73="Trifásica",R88&gt;40),TRUE,IF(Colectiva!M73="Trifásica",IF(IFERROR(MATCH(R88,check!$H$23:$H$32,0),FALSE),TRUE),IF(IFERROR(MATCH(R88,check!$I$23:$I$45,0),FALSE),TRUE)))</f>
        <v>0</v>
      </c>
      <c r="T88" t="b">
        <f t="shared" si="3"/>
        <v>0</v>
      </c>
      <c r="U88" t="b">
        <f t="shared" si="4"/>
        <v>0</v>
      </c>
    </row>
    <row r="89" spans="5:21" x14ac:dyDescent="0.2">
      <c r="E89" s="52">
        <f>Colectiva!H74</f>
        <v>0</v>
      </c>
      <c r="F89" s="52" t="b">
        <f>IF(AND(Colectiva!D74="Trifásica",E89&gt;40),TRUE,IF(Colectiva!D74="Trifásica",IF(IFERROR(MATCH(E89,check!$H$23:$H$32,0),FALSE),TRUE),IF(IFERROR(MATCH(E89,check!$I$23:$I$45,0),FALSE),TRUE)))</f>
        <v>0</v>
      </c>
      <c r="G89" s="52" t="b">
        <f t="shared" si="0"/>
        <v>0</v>
      </c>
      <c r="H89" t="b">
        <f>IF(AND(OR(Colectiva!E74=check!$D$14,Colectiva!E74=check!$D$16,Colectiva!E74=check!$D$17,Colectiva!E74=check!$D$18,Colectiva!E74=check!$D$19),OR(AND(ISNUMBER(Colectiva!H74),Colectiva!H74&gt;=12))),TRUE)</f>
        <v>0</v>
      </c>
      <c r="I89" s="40">
        <f>Colectiva!I74</f>
        <v>0</v>
      </c>
      <c r="J89" s="40" t="b">
        <f>IF(AND(Colectiva!D74="Trifásica",I89&gt;40),TRUE,IF(Colectiva!D74="Trifásica",IF(IFERROR(MATCH(I89,check!$H$23:$H$32,0),FALSE),TRUE),IF(IFERROR(MATCH(I89,check!$I$23:$I$45,0),FALSE),TRUE)))</f>
        <v>0</v>
      </c>
      <c r="K89" t="b">
        <f t="shared" si="5"/>
        <v>0</v>
      </c>
      <c r="L89" t="b">
        <f t="shared" si="6"/>
        <v>0</v>
      </c>
      <c r="N89" s="52">
        <f>Colectiva!Q74</f>
        <v>0</v>
      </c>
      <c r="O89" s="52" t="b">
        <f>IF(AND(Colectiva!M74="Trifásica",N89&gt;40),TRUE,IF(Colectiva!M74="Trifásica",IF(IFERROR(MATCH(N89,check!$H$23:$H$32,0),FALSE),TRUE),IF(IFERROR(MATCH(N89,check!$I$23:$I$45,0),FALSE),TRUE)))</f>
        <v>0</v>
      </c>
      <c r="P89" s="52" t="b">
        <f t="shared" si="2"/>
        <v>0</v>
      </c>
      <c r="Q89" t="b">
        <f>IF(AND(OR(Colectiva!N74=check!$D$14,Colectiva!N74=check!$D$16,Colectiva!N74=check!$D$17,Colectiva!N74=check!$D$18,Colectiva!N74=check!$D$19),OR(AND(ISNUMBER(Colectiva!Q74),Colectiva!Q74&gt;=12))),TRUE)</f>
        <v>0</v>
      </c>
      <c r="R89" s="40">
        <f>Colectiva!R74</f>
        <v>0</v>
      </c>
      <c r="S89" s="40" t="b">
        <f>IF(AND(Colectiva!M74="Trifásica",R89&gt;40),TRUE,IF(Colectiva!M74="Trifásica",IF(IFERROR(MATCH(R89,check!$H$23:$H$32,0),FALSE),TRUE),IF(IFERROR(MATCH(R89,check!$I$23:$I$45,0),FALSE),TRUE)))</f>
        <v>0</v>
      </c>
      <c r="T89" t="b">
        <f t="shared" si="3"/>
        <v>0</v>
      </c>
      <c r="U89" t="b">
        <f t="shared" si="4"/>
        <v>0</v>
      </c>
    </row>
    <row r="90" spans="5:21" x14ac:dyDescent="0.2">
      <c r="E90" s="52">
        <f>Colectiva!H75</f>
        <v>0</v>
      </c>
      <c r="F90" s="52" t="b">
        <f>IF(AND(Colectiva!D75="Trifásica",E90&gt;40),TRUE,IF(Colectiva!D75="Trifásica",IF(IFERROR(MATCH(E90,check!$H$23:$H$32,0),FALSE),TRUE),IF(IFERROR(MATCH(E90,check!$I$23:$I$45,0),FALSE),TRUE)))</f>
        <v>0</v>
      </c>
      <c r="G90" s="52" t="b">
        <f t="shared" si="0"/>
        <v>0</v>
      </c>
      <c r="H90" t="b">
        <f>IF(AND(OR(Colectiva!E75=check!$D$14,Colectiva!E75=check!$D$16,Colectiva!E75=check!$D$17,Colectiva!E75=check!$D$18,Colectiva!E75=check!$D$19),OR(AND(ISNUMBER(Colectiva!H75),Colectiva!H75&gt;=12))),TRUE)</f>
        <v>0</v>
      </c>
      <c r="I90" s="40">
        <f>Colectiva!I75</f>
        <v>0</v>
      </c>
      <c r="J90" s="40" t="b">
        <f>IF(AND(Colectiva!D75="Trifásica",I90&gt;40),TRUE,IF(Colectiva!D75="Trifásica",IF(IFERROR(MATCH(I90,check!$H$23:$H$32,0),FALSE),TRUE),IF(IFERROR(MATCH(I90,check!$I$23:$I$45,0),FALSE),TRUE)))</f>
        <v>0</v>
      </c>
      <c r="K90" t="b">
        <f t="shared" si="5"/>
        <v>0</v>
      </c>
      <c r="L90" t="b">
        <f t="shared" si="6"/>
        <v>0</v>
      </c>
      <c r="N90" s="52">
        <f>Colectiva!Q75</f>
        <v>0</v>
      </c>
      <c r="O90" s="52" t="b">
        <f>IF(AND(Colectiva!M75="Trifásica",N90&gt;40),TRUE,IF(Colectiva!M75="Trifásica",IF(IFERROR(MATCH(N90,check!$H$23:$H$32,0),FALSE),TRUE),IF(IFERROR(MATCH(N90,check!$I$23:$I$45,0),FALSE),TRUE)))</f>
        <v>0</v>
      </c>
      <c r="P90" s="52" t="b">
        <f t="shared" si="2"/>
        <v>0</v>
      </c>
      <c r="Q90" t="b">
        <f>IF(AND(OR(Colectiva!N75=check!$D$14,Colectiva!N75=check!$D$16,Colectiva!N75=check!$D$17,Colectiva!N75=check!$D$18,Colectiva!N75=check!$D$19),OR(AND(ISNUMBER(Colectiva!Q75),Colectiva!Q75&gt;=12))),TRUE)</f>
        <v>0</v>
      </c>
      <c r="R90" s="40">
        <f>Colectiva!R75</f>
        <v>0</v>
      </c>
      <c r="S90" s="40" t="b">
        <f>IF(AND(Colectiva!M75="Trifásica",R90&gt;40),TRUE,IF(Colectiva!M75="Trifásica",IF(IFERROR(MATCH(R90,check!$H$23:$H$32,0),FALSE),TRUE),IF(IFERROR(MATCH(R90,check!$I$23:$I$45,0),FALSE),TRUE)))</f>
        <v>0</v>
      </c>
      <c r="T90" t="b">
        <f t="shared" si="3"/>
        <v>0</v>
      </c>
      <c r="U90" t="b">
        <f t="shared" si="4"/>
        <v>0</v>
      </c>
    </row>
    <row r="91" spans="5:21" x14ac:dyDescent="0.2">
      <c r="E91" s="52">
        <f>Colectiva!H76</f>
        <v>0</v>
      </c>
      <c r="F91" s="52" t="b">
        <f>IF(AND(Colectiva!D76="Trifásica",E91&gt;40),TRUE,IF(Colectiva!D76="Trifásica",IF(IFERROR(MATCH(E91,check!$H$23:$H$32,0),FALSE),TRUE),IF(IFERROR(MATCH(E91,check!$I$23:$I$45,0),FALSE),TRUE)))</f>
        <v>0</v>
      </c>
      <c r="G91" s="52" t="b">
        <f t="shared" si="0"/>
        <v>0</v>
      </c>
      <c r="H91" t="b">
        <f>IF(AND(OR(Colectiva!E76=check!$D$14,Colectiva!E76=check!$D$16,Colectiva!E76=check!$D$17,Colectiva!E76=check!$D$18,Colectiva!E76=check!$D$19),OR(AND(ISNUMBER(Colectiva!H76),Colectiva!H76&gt;=12))),TRUE)</f>
        <v>0</v>
      </c>
      <c r="I91" s="40">
        <f>Colectiva!I76</f>
        <v>0</v>
      </c>
      <c r="J91" s="40" t="b">
        <f>IF(AND(Colectiva!D76="Trifásica",I91&gt;40),TRUE,IF(Colectiva!D76="Trifásica",IF(IFERROR(MATCH(I91,check!$H$23:$H$32,0),FALSE),TRUE),IF(IFERROR(MATCH(I91,check!$I$23:$I$45,0),FALSE),TRUE)))</f>
        <v>0</v>
      </c>
      <c r="K91" t="b">
        <f t="shared" si="5"/>
        <v>0</v>
      </c>
      <c r="L91" t="b">
        <f t="shared" si="6"/>
        <v>0</v>
      </c>
      <c r="N91" s="52">
        <f>Colectiva!Q76</f>
        <v>0</v>
      </c>
      <c r="O91" s="52" t="b">
        <f>IF(AND(Colectiva!M76="Trifásica",N91&gt;40),TRUE,IF(Colectiva!M76="Trifásica",IF(IFERROR(MATCH(N91,check!$H$23:$H$32,0),FALSE),TRUE),IF(IFERROR(MATCH(N91,check!$I$23:$I$45,0),FALSE),TRUE)))</f>
        <v>0</v>
      </c>
      <c r="P91" s="52" t="b">
        <f t="shared" si="2"/>
        <v>0</v>
      </c>
      <c r="Q91" t="b">
        <f>IF(AND(OR(Colectiva!N76=check!$D$14,Colectiva!N76=check!$D$16,Colectiva!N76=check!$D$17,Colectiva!N76=check!$D$18,Colectiva!N76=check!$D$19),OR(AND(ISNUMBER(Colectiva!Q76),Colectiva!Q76&gt;=12))),TRUE)</f>
        <v>0</v>
      </c>
      <c r="R91" s="40">
        <f>Colectiva!R76</f>
        <v>0</v>
      </c>
      <c r="S91" s="40" t="b">
        <f>IF(AND(Colectiva!M76="Trifásica",R91&gt;40),TRUE,IF(Colectiva!M76="Trifásica",IF(IFERROR(MATCH(R91,check!$H$23:$H$32,0),FALSE),TRUE),IF(IFERROR(MATCH(R91,check!$I$23:$I$45,0),FALSE),TRUE)))</f>
        <v>0</v>
      </c>
      <c r="T91" t="b">
        <f t="shared" si="3"/>
        <v>0</v>
      </c>
      <c r="U91" t="b">
        <f t="shared" si="4"/>
        <v>0</v>
      </c>
    </row>
    <row r="92" spans="5:21" x14ac:dyDescent="0.2">
      <c r="E92" s="52">
        <f>Colectiva!H77</f>
        <v>0</v>
      </c>
      <c r="F92" s="52" t="b">
        <f>IF(AND(Colectiva!D77="Trifásica",E92&gt;40),TRUE,IF(Colectiva!D77="Trifásica",IF(IFERROR(MATCH(E92,check!$H$23:$H$32,0),FALSE),TRUE),IF(IFERROR(MATCH(E92,check!$I$23:$I$45,0),FALSE),TRUE)))</f>
        <v>0</v>
      </c>
      <c r="G92" s="52" t="b">
        <f t="shared" si="0"/>
        <v>0</v>
      </c>
      <c r="H92" t="b">
        <f>IF(AND(OR(Colectiva!E77=check!$D$14,Colectiva!E77=check!$D$16,Colectiva!E77=check!$D$17,Colectiva!E77=check!$D$18,Colectiva!E77=check!$D$19),OR(AND(ISNUMBER(Colectiva!H77),Colectiva!H77&gt;=12))),TRUE)</f>
        <v>0</v>
      </c>
      <c r="I92" s="40">
        <f>Colectiva!I77</f>
        <v>0</v>
      </c>
      <c r="J92" s="40" t="b">
        <f>IF(AND(Colectiva!D77="Trifásica",I92&gt;40),TRUE,IF(Colectiva!D77="Trifásica",IF(IFERROR(MATCH(I92,check!$H$23:$H$32,0),FALSE),TRUE),IF(IFERROR(MATCH(I92,check!$I$23:$I$45,0),FALSE),TRUE)))</f>
        <v>0</v>
      </c>
      <c r="K92" t="b">
        <f t="shared" si="5"/>
        <v>0</v>
      </c>
      <c r="L92" t="b">
        <f t="shared" si="6"/>
        <v>0</v>
      </c>
      <c r="N92" s="52">
        <f>Colectiva!Q77</f>
        <v>0</v>
      </c>
      <c r="O92" s="52" t="b">
        <f>IF(AND(Colectiva!M77="Trifásica",N92&gt;40),TRUE,IF(Colectiva!M77="Trifásica",IF(IFERROR(MATCH(N92,check!$H$23:$H$32,0),FALSE),TRUE),IF(IFERROR(MATCH(N92,check!$I$23:$I$45,0),FALSE),TRUE)))</f>
        <v>0</v>
      </c>
      <c r="P92" s="52" t="b">
        <f t="shared" si="2"/>
        <v>0</v>
      </c>
      <c r="Q92" t="b">
        <f>IF(AND(OR(Colectiva!N77=check!$D$14,Colectiva!N77=check!$D$16,Colectiva!N77=check!$D$17,Colectiva!N77=check!$D$18,Colectiva!N77=check!$D$19),OR(AND(ISNUMBER(Colectiva!Q77),Colectiva!Q77&gt;=12))),TRUE)</f>
        <v>0</v>
      </c>
      <c r="R92" s="40">
        <f>Colectiva!R77</f>
        <v>0</v>
      </c>
      <c r="S92" s="40" t="b">
        <f>IF(AND(Colectiva!M77="Trifásica",R92&gt;40),TRUE,IF(Colectiva!M77="Trifásica",IF(IFERROR(MATCH(R92,check!$H$23:$H$32,0),FALSE),TRUE),IF(IFERROR(MATCH(R92,check!$I$23:$I$45,0),FALSE),TRUE)))</f>
        <v>0</v>
      </c>
      <c r="T92" t="b">
        <f t="shared" si="3"/>
        <v>0</v>
      </c>
      <c r="U92" t="b">
        <f t="shared" si="4"/>
        <v>0</v>
      </c>
    </row>
    <row r="93" spans="5:21" x14ac:dyDescent="0.2">
      <c r="E93" s="52">
        <f>Colectiva!H78</f>
        <v>0</v>
      </c>
      <c r="F93" s="52" t="b">
        <f>IF(AND(Colectiva!D78="Trifásica",E93&gt;40),TRUE,IF(Colectiva!D78="Trifásica",IF(IFERROR(MATCH(E93,check!$H$23:$H$32,0),FALSE),TRUE),IF(IFERROR(MATCH(E93,check!$I$23:$I$45,0),FALSE),TRUE)))</f>
        <v>0</v>
      </c>
      <c r="G93" s="52" t="b">
        <f t="shared" ref="G93:G124" si="7">AND(ISNUMBER(E93),INT(E93)&gt;39)</f>
        <v>0</v>
      </c>
      <c r="H93" t="b">
        <f>IF(AND(OR(Colectiva!E78=check!$D$14,Colectiva!E78=check!$D$16,Colectiva!E78=check!$D$17,Colectiva!E78=check!$D$18,Colectiva!E78=check!$D$19),OR(AND(ISNUMBER(Colectiva!H78),Colectiva!H78&gt;=12))),TRUE)</f>
        <v>0</v>
      </c>
      <c r="I93" s="40">
        <f>Colectiva!I78</f>
        <v>0</v>
      </c>
      <c r="J93" s="40" t="b">
        <f>IF(AND(Colectiva!D78="Trifásica",I93&gt;40),TRUE,IF(Colectiva!D78="Trifásica",IF(IFERROR(MATCH(I93,check!$H$23:$H$32,0),FALSE),TRUE),IF(IFERROR(MATCH(I93,check!$I$23:$I$45,0),FALSE),TRUE)))</f>
        <v>0</v>
      </c>
      <c r="K93" t="b">
        <f t="shared" si="5"/>
        <v>0</v>
      </c>
      <c r="L93" t="b">
        <f t="shared" si="6"/>
        <v>0</v>
      </c>
      <c r="N93" s="52">
        <f>Colectiva!Q78</f>
        <v>0</v>
      </c>
      <c r="O93" s="52" t="b">
        <f>IF(AND(Colectiva!M78="Trifásica",N93&gt;40),TRUE,IF(Colectiva!M78="Trifásica",IF(IFERROR(MATCH(N93,check!$H$23:$H$32,0),FALSE),TRUE),IF(IFERROR(MATCH(N93,check!$I$23:$I$45,0),FALSE),TRUE)))</f>
        <v>0</v>
      </c>
      <c r="P93" s="52" t="b">
        <f t="shared" ref="P93:P124" si="8">AND(ISNUMBER(N93),INT(N93)&gt;39)</f>
        <v>0</v>
      </c>
      <c r="Q93" t="b">
        <f>IF(AND(OR(Colectiva!N78=check!$D$14,Colectiva!N78=check!$D$16,Colectiva!N78=check!$D$17,Colectiva!N78=check!$D$18,Colectiva!N78=check!$D$19),OR(AND(ISNUMBER(Colectiva!Q78),Colectiva!Q78&gt;=12))),TRUE)</f>
        <v>0</v>
      </c>
      <c r="R93" s="40">
        <f>Colectiva!R78</f>
        <v>0</v>
      </c>
      <c r="S93" s="40" t="b">
        <f>IF(AND(Colectiva!M78="Trifásica",R93&gt;40),TRUE,IF(Colectiva!M78="Trifásica",IF(IFERROR(MATCH(R93,check!$H$23:$H$32,0),FALSE),TRUE),IF(IFERROR(MATCH(R93,check!$I$23:$I$45,0),FALSE),TRUE)))</f>
        <v>0</v>
      </c>
      <c r="T93" t="b">
        <f t="shared" si="3"/>
        <v>0</v>
      </c>
      <c r="U93" t="b">
        <f t="shared" si="4"/>
        <v>0</v>
      </c>
    </row>
    <row r="94" spans="5:21" x14ac:dyDescent="0.2">
      <c r="E94" s="52">
        <f>Colectiva!H79</f>
        <v>0</v>
      </c>
      <c r="F94" s="52" t="b">
        <f>IF(AND(Colectiva!D79="Trifásica",E94&gt;40),TRUE,IF(Colectiva!D79="Trifásica",IF(IFERROR(MATCH(E94,check!$H$23:$H$32,0),FALSE),TRUE),IF(IFERROR(MATCH(E94,check!$I$23:$I$45,0),FALSE),TRUE)))</f>
        <v>0</v>
      </c>
      <c r="G94" s="52" t="b">
        <f t="shared" si="7"/>
        <v>0</v>
      </c>
      <c r="H94" t="b">
        <f>IF(AND(OR(Colectiva!E79=check!$D$14,Colectiva!E79=check!$D$16,Colectiva!E79=check!$D$17,Colectiva!E79=check!$D$18,Colectiva!E79=check!$D$19),OR(AND(ISNUMBER(Colectiva!H79),Colectiva!H79&gt;=12))),TRUE)</f>
        <v>0</v>
      </c>
      <c r="I94" s="40">
        <f>Colectiva!I79</f>
        <v>0</v>
      </c>
      <c r="J94" s="40" t="b">
        <f>IF(AND(Colectiva!D79="Trifásica",I94&gt;40),TRUE,IF(Colectiva!D79="Trifásica",IF(IFERROR(MATCH(I94,check!$H$23:$H$32,0),FALSE),TRUE),IF(IFERROR(MATCH(I94,check!$I$23:$I$45,0),FALSE),TRUE)))</f>
        <v>0</v>
      </c>
      <c r="K94" t="b">
        <f t="shared" si="5"/>
        <v>0</v>
      </c>
      <c r="L94" t="b">
        <f t="shared" si="6"/>
        <v>0</v>
      </c>
      <c r="N94" s="52">
        <f>Colectiva!Q79</f>
        <v>0</v>
      </c>
      <c r="O94" s="52" t="b">
        <f>IF(AND(Colectiva!M79="Trifásica",N94&gt;40),TRUE,IF(Colectiva!M79="Trifásica",IF(IFERROR(MATCH(N94,check!$H$23:$H$32,0),FALSE),TRUE),IF(IFERROR(MATCH(N94,check!$I$23:$I$45,0),FALSE),TRUE)))</f>
        <v>0</v>
      </c>
      <c r="P94" s="52" t="b">
        <f t="shared" si="8"/>
        <v>0</v>
      </c>
      <c r="Q94" t="b">
        <f>IF(AND(OR(Colectiva!N79=check!$D$14,Colectiva!N79=check!$D$16,Colectiva!N79=check!$D$17,Colectiva!N79=check!$D$18,Colectiva!N79=check!$D$19),OR(AND(ISNUMBER(Colectiva!Q79),Colectiva!Q79&gt;=12))),TRUE)</f>
        <v>0</v>
      </c>
      <c r="R94" s="40">
        <f>Colectiva!R79</f>
        <v>0</v>
      </c>
      <c r="S94" s="40" t="b">
        <f>IF(AND(Colectiva!M79="Trifásica",R94&gt;40),TRUE,IF(Colectiva!M79="Trifásica",IF(IFERROR(MATCH(R94,check!$H$23:$H$32,0),FALSE),TRUE),IF(IFERROR(MATCH(R94,check!$I$23:$I$45,0),FALSE),TRUE)))</f>
        <v>0</v>
      </c>
      <c r="T94" t="b">
        <f t="shared" si="3"/>
        <v>0</v>
      </c>
      <c r="U94" t="b">
        <f t="shared" si="4"/>
        <v>0</v>
      </c>
    </row>
    <row r="95" spans="5:21" x14ac:dyDescent="0.2">
      <c r="E95" s="52">
        <f>Colectiva!H80</f>
        <v>0</v>
      </c>
      <c r="F95" s="52" t="b">
        <f>IF(AND(Colectiva!D80="Trifásica",E95&gt;40),TRUE,IF(Colectiva!D80="Trifásica",IF(IFERROR(MATCH(E95,check!$H$23:$H$32,0),FALSE),TRUE),IF(IFERROR(MATCH(E95,check!$I$23:$I$45,0),FALSE),TRUE)))</f>
        <v>0</v>
      </c>
      <c r="G95" s="52" t="b">
        <f t="shared" si="7"/>
        <v>0</v>
      </c>
      <c r="H95" t="b">
        <f>IF(AND(OR(Colectiva!E80=check!$D$14,Colectiva!E80=check!$D$16,Colectiva!E80=check!$D$17,Colectiva!E80=check!$D$18,Colectiva!E80=check!$D$19),OR(AND(ISNUMBER(Colectiva!H80),Colectiva!H80&gt;=12))),TRUE)</f>
        <v>0</v>
      </c>
      <c r="I95" s="40">
        <f>Colectiva!I80</f>
        <v>0</v>
      </c>
      <c r="J95" s="40" t="b">
        <f>IF(AND(Colectiva!D80="Trifásica",I95&gt;40),TRUE,IF(Colectiva!D80="Trifásica",IF(IFERROR(MATCH(I95,check!$H$23:$H$32,0),FALSE),TRUE),IF(IFERROR(MATCH(I95,check!$I$23:$I$45,0),FALSE),TRUE)))</f>
        <v>0</v>
      </c>
      <c r="K95" t="b">
        <f t="shared" si="5"/>
        <v>0</v>
      </c>
      <c r="L95" t="b">
        <f t="shared" si="6"/>
        <v>0</v>
      </c>
      <c r="N95" s="52">
        <f>Colectiva!Q80</f>
        <v>0</v>
      </c>
      <c r="O95" s="52" t="b">
        <f>IF(AND(Colectiva!M80="Trifásica",N95&gt;40),TRUE,IF(Colectiva!M80="Trifásica",IF(IFERROR(MATCH(N95,check!$H$23:$H$32,0),FALSE),TRUE),IF(IFERROR(MATCH(N95,check!$I$23:$I$45,0),FALSE),TRUE)))</f>
        <v>0</v>
      </c>
      <c r="P95" s="52" t="b">
        <f t="shared" si="8"/>
        <v>0</v>
      </c>
      <c r="Q95" t="b">
        <f>IF(AND(OR(Colectiva!N80=check!$D$14,Colectiva!N80=check!$D$16,Colectiva!N80=check!$D$17,Colectiva!N80=check!$D$18,Colectiva!N80=check!$D$19),OR(AND(ISNUMBER(Colectiva!Q80),Colectiva!Q80&gt;=12))),TRUE)</f>
        <v>0</v>
      </c>
      <c r="R95" s="40">
        <f>Colectiva!R80</f>
        <v>0</v>
      </c>
      <c r="S95" s="40" t="b">
        <f>IF(AND(Colectiva!M80="Trifásica",R95&gt;40),TRUE,IF(Colectiva!M80="Trifásica",IF(IFERROR(MATCH(R95,check!$H$23:$H$32,0),FALSE),TRUE),IF(IFERROR(MATCH(R95,check!$I$23:$I$45,0),FALSE),TRUE)))</f>
        <v>0</v>
      </c>
      <c r="T95" t="b">
        <f t="shared" si="3"/>
        <v>0</v>
      </c>
      <c r="U95" t="b">
        <f t="shared" si="4"/>
        <v>0</v>
      </c>
    </row>
    <row r="96" spans="5:21" x14ac:dyDescent="0.2">
      <c r="E96" s="52">
        <f>Colectiva!H81</f>
        <v>0</v>
      </c>
      <c r="F96" s="52" t="b">
        <f>IF(AND(Colectiva!D81="Trifásica",E96&gt;40),TRUE,IF(Colectiva!D81="Trifásica",IF(IFERROR(MATCH(E96,check!$H$23:$H$32,0),FALSE),TRUE),IF(IFERROR(MATCH(E96,check!$I$23:$I$45,0),FALSE),TRUE)))</f>
        <v>0</v>
      </c>
      <c r="G96" s="52" t="b">
        <f t="shared" si="7"/>
        <v>0</v>
      </c>
      <c r="H96" t="b">
        <f>IF(AND(OR(Colectiva!E81=check!$D$14,Colectiva!E81=check!$D$16,Colectiva!E81=check!$D$17,Colectiva!E81=check!$D$18,Colectiva!E81=check!$D$19),OR(AND(ISNUMBER(Colectiva!H81),Colectiva!H81&gt;=12))),TRUE)</f>
        <v>0</v>
      </c>
      <c r="I96" s="40">
        <f>Colectiva!I81</f>
        <v>0</v>
      </c>
      <c r="J96" s="40" t="b">
        <f>IF(AND(Colectiva!D81="Trifásica",I96&gt;40),TRUE,IF(Colectiva!D81="Trifásica",IF(IFERROR(MATCH(I96,check!$H$23:$H$32,0),FALSE),TRUE),IF(IFERROR(MATCH(I96,check!$I$23:$I$45,0),FALSE),TRUE)))</f>
        <v>0</v>
      </c>
      <c r="K96" t="b">
        <f t="shared" si="5"/>
        <v>0</v>
      </c>
      <c r="L96" t="b">
        <f t="shared" si="6"/>
        <v>0</v>
      </c>
      <c r="N96" s="52">
        <f>Colectiva!Q81</f>
        <v>0</v>
      </c>
      <c r="O96" s="52" t="b">
        <f>IF(AND(Colectiva!M81="Trifásica",N96&gt;40),TRUE,IF(Colectiva!M81="Trifásica",IF(IFERROR(MATCH(N96,check!$H$23:$H$32,0),FALSE),TRUE),IF(IFERROR(MATCH(N96,check!$I$23:$I$45,0),FALSE),TRUE)))</f>
        <v>0</v>
      </c>
      <c r="P96" s="52" t="b">
        <f t="shared" si="8"/>
        <v>0</v>
      </c>
      <c r="Q96" t="b">
        <f>IF(AND(OR(Colectiva!N81=check!$D$14,Colectiva!N81=check!$D$16,Colectiva!N81=check!$D$17,Colectiva!N81=check!$D$18,Colectiva!N81=check!$D$19),OR(AND(ISNUMBER(Colectiva!Q81),Colectiva!Q81&gt;=12))),TRUE)</f>
        <v>0</v>
      </c>
      <c r="R96" s="40">
        <f>Colectiva!R81</f>
        <v>0</v>
      </c>
      <c r="S96" s="40" t="b">
        <f>IF(AND(Colectiva!M81="Trifásica",R96&gt;40),TRUE,IF(Colectiva!M81="Trifásica",IF(IFERROR(MATCH(R96,check!$H$23:$H$32,0),FALSE),TRUE),IF(IFERROR(MATCH(R96,check!$I$23:$I$45,0),FALSE),TRUE)))</f>
        <v>0</v>
      </c>
      <c r="T96" t="b">
        <f t="shared" si="3"/>
        <v>0</v>
      </c>
      <c r="U96" t="b">
        <f t="shared" si="4"/>
        <v>0</v>
      </c>
    </row>
    <row r="97" spans="5:21" x14ac:dyDescent="0.2">
      <c r="E97" s="52">
        <f>Colectiva!H82</f>
        <v>0</v>
      </c>
      <c r="F97" s="52" t="b">
        <f>IF(AND(Colectiva!D82="Trifásica",E97&gt;40),TRUE,IF(Colectiva!D82="Trifásica",IF(IFERROR(MATCH(E97,check!$H$23:$H$32,0),FALSE),TRUE),IF(IFERROR(MATCH(E97,check!$I$23:$I$45,0),FALSE),TRUE)))</f>
        <v>0</v>
      </c>
      <c r="G97" s="52" t="b">
        <f t="shared" si="7"/>
        <v>0</v>
      </c>
      <c r="H97" t="b">
        <f>IF(AND(OR(Colectiva!E82=check!$D$14,Colectiva!E82=check!$D$16,Colectiva!E82=check!$D$17,Colectiva!E82=check!$D$18,Colectiva!E82=check!$D$19),OR(AND(ISNUMBER(Colectiva!H82),Colectiva!H82&gt;=12))),TRUE)</f>
        <v>0</v>
      </c>
      <c r="I97" s="40">
        <f>Colectiva!I82</f>
        <v>0</v>
      </c>
      <c r="J97" s="40" t="b">
        <f>IF(AND(Colectiva!D82="Trifásica",I97&gt;40),TRUE,IF(Colectiva!D82="Trifásica",IF(IFERROR(MATCH(I97,check!$H$23:$H$32,0),FALSE),TRUE),IF(IFERROR(MATCH(I97,check!$I$23:$I$45,0),FALSE),TRUE)))</f>
        <v>0</v>
      </c>
      <c r="K97" t="b">
        <f t="shared" si="5"/>
        <v>0</v>
      </c>
      <c r="L97" t="b">
        <f t="shared" si="6"/>
        <v>0</v>
      </c>
      <c r="N97" s="52">
        <f>Colectiva!Q82</f>
        <v>0</v>
      </c>
      <c r="O97" s="52" t="b">
        <f>IF(AND(Colectiva!M82="Trifásica",N97&gt;40),TRUE,IF(Colectiva!M82="Trifásica",IF(IFERROR(MATCH(N97,check!$H$23:$H$32,0),FALSE),TRUE),IF(IFERROR(MATCH(N97,check!$I$23:$I$45,0),FALSE),TRUE)))</f>
        <v>0</v>
      </c>
      <c r="P97" s="52" t="b">
        <f t="shared" si="8"/>
        <v>0</v>
      </c>
      <c r="Q97" t="b">
        <f>IF(AND(OR(Colectiva!N82=check!$D$14,Colectiva!N82=check!$D$16,Colectiva!N82=check!$D$17,Colectiva!N82=check!$D$18,Colectiva!N82=check!$D$19),OR(AND(ISNUMBER(Colectiva!Q82),Colectiva!Q82&gt;=12))),TRUE)</f>
        <v>0</v>
      </c>
      <c r="R97" s="40">
        <f>Colectiva!R82</f>
        <v>0</v>
      </c>
      <c r="S97" s="40" t="b">
        <f>IF(AND(Colectiva!M82="Trifásica",R97&gt;40),TRUE,IF(Colectiva!M82="Trifásica",IF(IFERROR(MATCH(R97,check!$H$23:$H$32,0),FALSE),TRUE),IF(IFERROR(MATCH(R97,check!$I$23:$I$45,0),FALSE),TRUE)))</f>
        <v>0</v>
      </c>
      <c r="T97" t="b">
        <f t="shared" si="3"/>
        <v>0</v>
      </c>
      <c r="U97" t="b">
        <f t="shared" si="4"/>
        <v>0</v>
      </c>
    </row>
    <row r="98" spans="5:21" x14ac:dyDescent="0.2">
      <c r="E98" s="52">
        <f>Colectiva!H83</f>
        <v>0</v>
      </c>
      <c r="F98" s="52" t="b">
        <f>IF(AND(Colectiva!D83="Trifásica",E98&gt;40),TRUE,IF(Colectiva!D83="Trifásica",IF(IFERROR(MATCH(E98,check!$H$23:$H$32,0),FALSE),TRUE),IF(IFERROR(MATCH(E98,check!$I$23:$I$45,0),FALSE),TRUE)))</f>
        <v>0</v>
      </c>
      <c r="G98" s="52" t="b">
        <f t="shared" si="7"/>
        <v>0</v>
      </c>
      <c r="H98" t="b">
        <f>IF(AND(OR(Colectiva!E83=check!$D$14,Colectiva!E83=check!$D$16,Colectiva!E83=check!$D$17,Colectiva!E83=check!$D$18,Colectiva!E83=check!$D$19),OR(AND(ISNUMBER(Colectiva!H83),Colectiva!H83&gt;=12))),TRUE)</f>
        <v>0</v>
      </c>
      <c r="I98" s="40">
        <f>Colectiva!I83</f>
        <v>0</v>
      </c>
      <c r="J98" s="40" t="b">
        <f>IF(AND(Colectiva!D83="Trifásica",I98&gt;40),TRUE,IF(Colectiva!D83="Trifásica",IF(IFERROR(MATCH(I98,check!$H$23:$H$32,0),FALSE),TRUE),IF(IFERROR(MATCH(I98,check!$I$23:$I$45,0),FALSE),TRUE)))</f>
        <v>0</v>
      </c>
      <c r="K98" t="b">
        <f t="shared" si="5"/>
        <v>0</v>
      </c>
      <c r="L98" t="b">
        <f t="shared" si="6"/>
        <v>0</v>
      </c>
      <c r="N98" s="52">
        <f>Colectiva!Q83</f>
        <v>0</v>
      </c>
      <c r="O98" s="52" t="b">
        <f>IF(AND(Colectiva!M83="Trifásica",N98&gt;40),TRUE,IF(Colectiva!M83="Trifásica",IF(IFERROR(MATCH(N98,check!$H$23:$H$32,0),FALSE),TRUE),IF(IFERROR(MATCH(N98,check!$I$23:$I$45,0),FALSE),TRUE)))</f>
        <v>0</v>
      </c>
      <c r="P98" s="52" t="b">
        <f t="shared" si="8"/>
        <v>0</v>
      </c>
      <c r="Q98" t="b">
        <f>IF(AND(OR(Colectiva!N83=check!$D$14,Colectiva!N83=check!$D$16,Colectiva!N83=check!$D$17,Colectiva!N83=check!$D$18,Colectiva!N83=check!$D$19),OR(AND(ISNUMBER(Colectiva!Q83),Colectiva!Q83&gt;=12))),TRUE)</f>
        <v>0</v>
      </c>
      <c r="R98" s="40">
        <f>Colectiva!R83</f>
        <v>0</v>
      </c>
      <c r="S98" s="40" t="b">
        <f>IF(AND(Colectiva!M83="Trifásica",R98&gt;40),TRUE,IF(Colectiva!M83="Trifásica",IF(IFERROR(MATCH(R98,check!$H$23:$H$32,0),FALSE),TRUE),IF(IFERROR(MATCH(R98,check!$I$23:$I$45,0),FALSE),TRUE)))</f>
        <v>0</v>
      </c>
      <c r="T98" t="b">
        <f t="shared" si="3"/>
        <v>0</v>
      </c>
      <c r="U98" t="b">
        <f t="shared" si="4"/>
        <v>0</v>
      </c>
    </row>
    <row r="99" spans="5:21" x14ac:dyDescent="0.2">
      <c r="E99" s="52">
        <f>Colectiva!H84</f>
        <v>0</v>
      </c>
      <c r="F99" s="52" t="b">
        <f>IF(AND(Colectiva!D84="Trifásica",E99&gt;40),TRUE,IF(Colectiva!D84="Trifásica",IF(IFERROR(MATCH(E99,check!$H$23:$H$32,0),FALSE),TRUE),IF(IFERROR(MATCH(E99,check!$I$23:$I$45,0),FALSE),TRUE)))</f>
        <v>0</v>
      </c>
      <c r="G99" s="52" t="b">
        <f t="shared" si="7"/>
        <v>0</v>
      </c>
      <c r="H99" t="b">
        <f>IF(AND(OR(Colectiva!E84=check!$D$14,Colectiva!E84=check!$D$16,Colectiva!E84=check!$D$17,Colectiva!E84=check!$D$18,Colectiva!E84=check!$D$19),OR(AND(ISNUMBER(Colectiva!H84),Colectiva!H84&gt;=12))),TRUE)</f>
        <v>0</v>
      </c>
      <c r="I99" s="40">
        <f>Colectiva!I84</f>
        <v>0</v>
      </c>
      <c r="J99" s="40" t="b">
        <f>IF(AND(Colectiva!D84="Trifásica",I99&gt;40),TRUE,IF(Colectiva!D84="Trifásica",IF(IFERROR(MATCH(I99,check!$H$23:$H$32,0),FALSE),TRUE),IF(IFERROR(MATCH(I99,check!$I$23:$I$45,0),FALSE),TRUE)))</f>
        <v>0</v>
      </c>
      <c r="K99" t="b">
        <f t="shared" si="5"/>
        <v>0</v>
      </c>
      <c r="L99" t="b">
        <f t="shared" si="6"/>
        <v>0</v>
      </c>
      <c r="N99" s="52">
        <f>Colectiva!Q84</f>
        <v>0</v>
      </c>
      <c r="O99" s="52" t="b">
        <f>IF(AND(Colectiva!M84="Trifásica",N99&gt;40),TRUE,IF(Colectiva!M84="Trifásica",IF(IFERROR(MATCH(N99,check!$H$23:$H$32,0),FALSE),TRUE),IF(IFERROR(MATCH(N99,check!$I$23:$I$45,0),FALSE),TRUE)))</f>
        <v>0</v>
      </c>
      <c r="P99" s="52" t="b">
        <f t="shared" si="8"/>
        <v>0</v>
      </c>
      <c r="Q99" t="b">
        <f>IF(AND(OR(Colectiva!N84=check!$D$14,Colectiva!N84=check!$D$16,Colectiva!N84=check!$D$17,Colectiva!N84=check!$D$18,Colectiva!N84=check!$D$19),OR(AND(ISNUMBER(Colectiva!Q84),Colectiva!Q84&gt;=12))),TRUE)</f>
        <v>0</v>
      </c>
      <c r="R99" s="40">
        <f>Colectiva!R84</f>
        <v>0</v>
      </c>
      <c r="S99" s="40" t="b">
        <f>IF(AND(Colectiva!M84="Trifásica",R99&gt;40),TRUE,IF(Colectiva!M84="Trifásica",IF(IFERROR(MATCH(R99,check!$H$23:$H$32,0),FALSE),TRUE),IF(IFERROR(MATCH(R99,check!$I$23:$I$45,0),FALSE),TRUE)))</f>
        <v>0</v>
      </c>
      <c r="T99" t="b">
        <f t="shared" si="3"/>
        <v>0</v>
      </c>
      <c r="U99" t="b">
        <f t="shared" si="4"/>
        <v>0</v>
      </c>
    </row>
    <row r="100" spans="5:21" x14ac:dyDescent="0.2">
      <c r="E100" s="52">
        <f>Colectiva!H85</f>
        <v>0</v>
      </c>
      <c r="F100" s="52" t="b">
        <f>IF(AND(Colectiva!D85="Trifásica",E100&gt;40),TRUE,IF(Colectiva!D85="Trifásica",IF(IFERROR(MATCH(E100,check!$H$23:$H$32,0),FALSE),TRUE),IF(IFERROR(MATCH(E100,check!$I$23:$I$45,0),FALSE),TRUE)))</f>
        <v>0</v>
      </c>
      <c r="G100" s="52" t="b">
        <f t="shared" si="7"/>
        <v>0</v>
      </c>
      <c r="H100" t="b">
        <f>IF(AND(OR(Colectiva!E85=check!$D$14,Colectiva!E85=check!$D$16,Colectiva!E85=check!$D$17,Colectiva!E85=check!$D$18,Colectiva!E85=check!$D$19),OR(AND(ISNUMBER(Colectiva!H85),Colectiva!H85&gt;=12))),TRUE)</f>
        <v>0</v>
      </c>
      <c r="I100" s="40">
        <f>Colectiva!I85</f>
        <v>0</v>
      </c>
      <c r="J100" s="40" t="b">
        <f>IF(AND(Colectiva!D85="Trifásica",I100&gt;40),TRUE,IF(Colectiva!D85="Trifásica",IF(IFERROR(MATCH(I100,check!$H$23:$H$32,0),FALSE),TRUE),IF(IFERROR(MATCH(I100,check!$I$23:$I$45,0),FALSE),TRUE)))</f>
        <v>0</v>
      </c>
      <c r="K100" t="b">
        <f t="shared" si="5"/>
        <v>0</v>
      </c>
      <c r="L100" t="b">
        <f t="shared" si="6"/>
        <v>0</v>
      </c>
      <c r="N100" s="52">
        <f>Colectiva!Q85</f>
        <v>0</v>
      </c>
      <c r="O100" s="52" t="b">
        <f>IF(AND(Colectiva!M85="Trifásica",N100&gt;40),TRUE,IF(Colectiva!M85="Trifásica",IF(IFERROR(MATCH(N100,check!$H$23:$H$32,0),FALSE),TRUE),IF(IFERROR(MATCH(N100,check!$I$23:$I$45,0),FALSE),TRUE)))</f>
        <v>0</v>
      </c>
      <c r="P100" s="52" t="b">
        <f t="shared" si="8"/>
        <v>0</v>
      </c>
      <c r="Q100" t="b">
        <f>IF(AND(OR(Colectiva!N85=check!$D$14,Colectiva!N85=check!$D$16,Colectiva!N85=check!$D$17,Colectiva!N85=check!$D$18,Colectiva!N85=check!$D$19),OR(AND(ISNUMBER(Colectiva!Q85),Colectiva!Q85&gt;=12))),TRUE)</f>
        <v>0</v>
      </c>
      <c r="R100" s="40">
        <f>Colectiva!R85</f>
        <v>0</v>
      </c>
      <c r="S100" s="40" t="b">
        <f>IF(AND(Colectiva!M85="Trifásica",R100&gt;40),TRUE,IF(Colectiva!M85="Trifásica",IF(IFERROR(MATCH(R100,check!$H$23:$H$32,0),FALSE),TRUE),IF(IFERROR(MATCH(R100,check!$I$23:$I$45,0),FALSE),TRUE)))</f>
        <v>0</v>
      </c>
      <c r="T100" t="b">
        <f t="shared" si="3"/>
        <v>0</v>
      </c>
      <c r="U100" t="b">
        <f t="shared" si="4"/>
        <v>0</v>
      </c>
    </row>
    <row r="101" spans="5:21" x14ac:dyDescent="0.2">
      <c r="E101" s="52">
        <f>Colectiva!H86</f>
        <v>0</v>
      </c>
      <c r="F101" s="52" t="b">
        <f>IF(AND(Colectiva!D86="Trifásica",E101&gt;40),TRUE,IF(Colectiva!D86="Trifásica",IF(IFERROR(MATCH(E101,check!$H$23:$H$32,0),FALSE),TRUE),IF(IFERROR(MATCH(E101,check!$I$23:$I$45,0),FALSE),TRUE)))</f>
        <v>0</v>
      </c>
      <c r="G101" s="52" t="b">
        <f t="shared" si="7"/>
        <v>0</v>
      </c>
      <c r="H101" t="b">
        <f>IF(AND(OR(Colectiva!E86=check!$D$14,Colectiva!E86=check!$D$16,Colectiva!E86=check!$D$17,Colectiva!E86=check!$D$18,Colectiva!E86=check!$D$19),OR(AND(ISNUMBER(Colectiva!H86),Colectiva!H86&gt;=12))),TRUE)</f>
        <v>0</v>
      </c>
      <c r="I101" s="40">
        <f>Colectiva!I86</f>
        <v>0</v>
      </c>
      <c r="J101" s="40" t="b">
        <f>IF(AND(Colectiva!D86="Trifásica",I101&gt;40),TRUE,IF(Colectiva!D86="Trifásica",IF(IFERROR(MATCH(I101,check!$H$23:$H$32,0),FALSE),TRUE),IF(IFERROR(MATCH(I101,check!$I$23:$I$45,0),FALSE),TRUE)))</f>
        <v>0</v>
      </c>
      <c r="K101" t="b">
        <f t="shared" si="5"/>
        <v>0</v>
      </c>
      <c r="L101" t="b">
        <f t="shared" si="6"/>
        <v>0</v>
      </c>
      <c r="N101" s="52">
        <f>Colectiva!Q86</f>
        <v>0</v>
      </c>
      <c r="O101" s="52" t="b">
        <f>IF(AND(Colectiva!M86="Trifásica",N101&gt;40),TRUE,IF(Colectiva!M86="Trifásica",IF(IFERROR(MATCH(N101,check!$H$23:$H$32,0),FALSE),TRUE),IF(IFERROR(MATCH(N101,check!$I$23:$I$45,0),FALSE),TRUE)))</f>
        <v>0</v>
      </c>
      <c r="P101" s="52" t="b">
        <f t="shared" si="8"/>
        <v>0</v>
      </c>
      <c r="Q101" t="b">
        <f>IF(AND(OR(Colectiva!N86=check!$D$14,Colectiva!N86=check!$D$16,Colectiva!N86=check!$D$17,Colectiva!N86=check!$D$18,Colectiva!N86=check!$D$19),OR(AND(ISNUMBER(Colectiva!Q86),Colectiva!Q86&gt;=12))),TRUE)</f>
        <v>0</v>
      </c>
      <c r="R101" s="40">
        <f>Colectiva!R86</f>
        <v>0</v>
      </c>
      <c r="S101" s="40" t="b">
        <f>IF(AND(Colectiva!M86="Trifásica",R101&gt;40),TRUE,IF(Colectiva!M86="Trifásica",IF(IFERROR(MATCH(R101,check!$H$23:$H$32,0),FALSE),TRUE),IF(IFERROR(MATCH(R101,check!$I$23:$I$45,0),FALSE),TRUE)))</f>
        <v>0</v>
      </c>
      <c r="T101" t="b">
        <f t="shared" si="3"/>
        <v>0</v>
      </c>
      <c r="U101" t="b">
        <f t="shared" si="4"/>
        <v>0</v>
      </c>
    </row>
    <row r="102" spans="5:21" x14ac:dyDescent="0.2">
      <c r="E102" s="52">
        <f>Colectiva!H87</f>
        <v>0</v>
      </c>
      <c r="F102" s="52" t="b">
        <f>IF(AND(Colectiva!D87="Trifásica",E102&gt;40),TRUE,IF(Colectiva!D87="Trifásica",IF(IFERROR(MATCH(E102,check!$H$23:$H$32,0),FALSE),TRUE),IF(IFERROR(MATCH(E102,check!$I$23:$I$45,0),FALSE),TRUE)))</f>
        <v>0</v>
      </c>
      <c r="G102" s="52" t="b">
        <f t="shared" si="7"/>
        <v>0</v>
      </c>
      <c r="H102" t="b">
        <f>IF(AND(OR(Colectiva!E87=check!$D$14,Colectiva!E87=check!$D$16,Colectiva!E87=check!$D$17,Colectiva!E87=check!$D$18,Colectiva!E87=check!$D$19),OR(AND(ISNUMBER(Colectiva!H87),Colectiva!H87&gt;=12))),TRUE)</f>
        <v>0</v>
      </c>
      <c r="I102" s="40">
        <f>Colectiva!I87</f>
        <v>0</v>
      </c>
      <c r="J102" s="40" t="b">
        <f>IF(AND(Colectiva!D87="Trifásica",I102&gt;40),TRUE,IF(Colectiva!D87="Trifásica",IF(IFERROR(MATCH(I102,check!$H$23:$H$32,0),FALSE),TRUE),IF(IFERROR(MATCH(I102,check!$I$23:$I$45,0),FALSE),TRUE)))</f>
        <v>0</v>
      </c>
      <c r="K102" t="b">
        <f t="shared" si="5"/>
        <v>0</v>
      </c>
      <c r="L102" t="b">
        <f t="shared" si="6"/>
        <v>0</v>
      </c>
      <c r="N102" s="52">
        <f>Colectiva!Q87</f>
        <v>0</v>
      </c>
      <c r="O102" s="52" t="b">
        <f>IF(AND(Colectiva!M87="Trifásica",N102&gt;40),TRUE,IF(Colectiva!M87="Trifásica",IF(IFERROR(MATCH(N102,check!$H$23:$H$32,0),FALSE),TRUE),IF(IFERROR(MATCH(N102,check!$I$23:$I$45,0),FALSE),TRUE)))</f>
        <v>0</v>
      </c>
      <c r="P102" s="52" t="b">
        <f t="shared" si="8"/>
        <v>0</v>
      </c>
      <c r="Q102" t="b">
        <f>IF(AND(OR(Colectiva!N87=check!$D$14,Colectiva!N87=check!$D$16,Colectiva!N87=check!$D$17,Colectiva!N87=check!$D$18,Colectiva!N87=check!$D$19),OR(AND(ISNUMBER(Colectiva!Q87),Colectiva!Q87&gt;=12))),TRUE)</f>
        <v>0</v>
      </c>
      <c r="R102" s="40">
        <f>Colectiva!R87</f>
        <v>0</v>
      </c>
      <c r="S102" s="40" t="b">
        <f>IF(AND(Colectiva!M87="Trifásica",R102&gt;40),TRUE,IF(Colectiva!M87="Trifásica",IF(IFERROR(MATCH(R102,check!$H$23:$H$32,0),FALSE),TRUE),IF(IFERROR(MATCH(R102,check!$I$23:$I$45,0),FALSE),TRUE)))</f>
        <v>0</v>
      </c>
      <c r="T102" t="b">
        <f t="shared" si="3"/>
        <v>0</v>
      </c>
      <c r="U102" t="b">
        <f t="shared" si="4"/>
        <v>0</v>
      </c>
    </row>
    <row r="103" spans="5:21" x14ac:dyDescent="0.2">
      <c r="E103" s="52">
        <f>Colectiva!H88</f>
        <v>0</v>
      </c>
      <c r="F103" s="52" t="b">
        <f>IF(AND(Colectiva!D88="Trifásica",E103&gt;40),TRUE,IF(Colectiva!D88="Trifásica",IF(IFERROR(MATCH(E103,check!$H$23:$H$32,0),FALSE),TRUE),IF(IFERROR(MATCH(E103,check!$I$23:$I$45,0),FALSE),TRUE)))</f>
        <v>0</v>
      </c>
      <c r="G103" s="52" t="b">
        <f t="shared" si="7"/>
        <v>0</v>
      </c>
      <c r="H103" t="b">
        <f>IF(AND(OR(Colectiva!E88=check!$D$14,Colectiva!E88=check!$D$16,Colectiva!E88=check!$D$17,Colectiva!E88=check!$D$18,Colectiva!E88=check!$D$19),OR(AND(ISNUMBER(Colectiva!H88),Colectiva!H88&gt;=12))),TRUE)</f>
        <v>0</v>
      </c>
      <c r="I103" s="40">
        <f>Colectiva!I88</f>
        <v>0</v>
      </c>
      <c r="J103" s="40" t="b">
        <f>IF(AND(Colectiva!D88="Trifásica",I103&gt;40),TRUE,IF(Colectiva!D88="Trifásica",IF(IFERROR(MATCH(I103,check!$H$23:$H$32,0),FALSE),TRUE),IF(IFERROR(MATCH(I103,check!$I$23:$I$45,0),FALSE),TRUE)))</f>
        <v>0</v>
      </c>
      <c r="K103" t="b">
        <f t="shared" si="5"/>
        <v>0</v>
      </c>
      <c r="L103" t="b">
        <f t="shared" si="6"/>
        <v>0</v>
      </c>
      <c r="N103" s="52">
        <f>Colectiva!Q88</f>
        <v>0</v>
      </c>
      <c r="O103" s="52" t="b">
        <f>IF(AND(Colectiva!M88="Trifásica",N103&gt;40),TRUE,IF(Colectiva!M88="Trifásica",IF(IFERROR(MATCH(N103,check!$H$23:$H$32,0),FALSE),TRUE),IF(IFERROR(MATCH(N103,check!$I$23:$I$45,0),FALSE),TRUE)))</f>
        <v>0</v>
      </c>
      <c r="P103" s="52" t="b">
        <f t="shared" si="8"/>
        <v>0</v>
      </c>
      <c r="Q103" t="b">
        <f>IF(AND(OR(Colectiva!N88=check!$D$14,Colectiva!N88=check!$D$16,Colectiva!N88=check!$D$17,Colectiva!N88=check!$D$18,Colectiva!N88=check!$D$19),OR(AND(ISNUMBER(Colectiva!Q88),Colectiva!Q88&gt;=12))),TRUE)</f>
        <v>0</v>
      </c>
      <c r="R103" s="40">
        <f>Colectiva!R88</f>
        <v>0</v>
      </c>
      <c r="S103" s="40" t="b">
        <f>IF(AND(Colectiva!M88="Trifásica",R103&gt;40),TRUE,IF(Colectiva!M88="Trifásica",IF(IFERROR(MATCH(R103,check!$H$23:$H$32,0),FALSE),TRUE),IF(IFERROR(MATCH(R103,check!$I$23:$I$45,0),FALSE),TRUE)))</f>
        <v>0</v>
      </c>
      <c r="T103" t="b">
        <f t="shared" si="3"/>
        <v>0</v>
      </c>
      <c r="U103" t="b">
        <f t="shared" si="4"/>
        <v>0</v>
      </c>
    </row>
    <row r="104" spans="5:21" x14ac:dyDescent="0.2">
      <c r="E104" s="52">
        <f>Colectiva!H89</f>
        <v>0</v>
      </c>
      <c r="F104" s="52" t="b">
        <f>IF(AND(Colectiva!D89="Trifásica",E104&gt;40),TRUE,IF(Colectiva!D89="Trifásica",IF(IFERROR(MATCH(E104,check!$H$23:$H$32,0),FALSE),TRUE),IF(IFERROR(MATCH(E104,check!$I$23:$I$45,0),FALSE),TRUE)))</f>
        <v>0</v>
      </c>
      <c r="G104" s="52" t="b">
        <f t="shared" si="7"/>
        <v>0</v>
      </c>
      <c r="H104" t="b">
        <f>IF(AND(OR(Colectiva!E89=check!$D$14,Colectiva!E89=check!$D$16,Colectiva!E89=check!$D$17,Colectiva!E89=check!$D$18,Colectiva!E89=check!$D$19),OR(AND(ISNUMBER(Colectiva!H89),Colectiva!H89&gt;=12))),TRUE)</f>
        <v>0</v>
      </c>
      <c r="I104" s="40">
        <f>Colectiva!I89</f>
        <v>0</v>
      </c>
      <c r="J104" s="40" t="b">
        <f>IF(AND(Colectiva!D89="Trifásica",I104&gt;40),TRUE,IF(Colectiva!D89="Trifásica",IF(IFERROR(MATCH(I104,check!$H$23:$H$32,0),FALSE),TRUE),IF(IFERROR(MATCH(I104,check!$I$23:$I$45,0),FALSE),TRUE)))</f>
        <v>0</v>
      </c>
      <c r="K104" t="b">
        <f t="shared" si="5"/>
        <v>0</v>
      </c>
      <c r="L104" t="b">
        <f t="shared" si="6"/>
        <v>0</v>
      </c>
      <c r="N104" s="52">
        <f>Colectiva!Q89</f>
        <v>0</v>
      </c>
      <c r="O104" s="52" t="b">
        <f>IF(AND(Colectiva!M89="Trifásica",N104&gt;40),TRUE,IF(Colectiva!M89="Trifásica",IF(IFERROR(MATCH(N104,check!$H$23:$H$32,0),FALSE),TRUE),IF(IFERROR(MATCH(N104,check!$I$23:$I$45,0),FALSE),TRUE)))</f>
        <v>0</v>
      </c>
      <c r="P104" s="52" t="b">
        <f t="shared" si="8"/>
        <v>0</v>
      </c>
      <c r="Q104" t="b">
        <f>IF(AND(OR(Colectiva!N89=check!$D$14,Colectiva!N89=check!$D$16,Colectiva!N89=check!$D$17,Colectiva!N89=check!$D$18,Colectiva!N89=check!$D$19),OR(AND(ISNUMBER(Colectiva!Q89),Colectiva!Q89&gt;=12))),TRUE)</f>
        <v>0</v>
      </c>
      <c r="R104" s="40">
        <f>Colectiva!R89</f>
        <v>0</v>
      </c>
      <c r="S104" s="40" t="b">
        <f>IF(AND(Colectiva!M89="Trifásica",R104&gt;40),TRUE,IF(Colectiva!M89="Trifásica",IF(IFERROR(MATCH(R104,check!$H$23:$H$32,0),FALSE),TRUE),IF(IFERROR(MATCH(R104,check!$I$23:$I$45,0),FALSE),TRUE)))</f>
        <v>0</v>
      </c>
      <c r="T104" t="b">
        <f t="shared" si="3"/>
        <v>0</v>
      </c>
      <c r="U104" t="b">
        <f t="shared" si="4"/>
        <v>0</v>
      </c>
    </row>
    <row r="105" spans="5:21" x14ac:dyDescent="0.2">
      <c r="E105" s="52">
        <f>Colectiva!H90</f>
        <v>0</v>
      </c>
      <c r="F105" s="52" t="b">
        <f>IF(AND(Colectiva!D90="Trifásica",E105&gt;40),TRUE,IF(Colectiva!D90="Trifásica",IF(IFERROR(MATCH(E105,check!$H$23:$H$32,0),FALSE),TRUE),IF(IFERROR(MATCH(E105,check!$I$23:$I$45,0),FALSE),TRUE)))</f>
        <v>0</v>
      </c>
      <c r="G105" s="52" t="b">
        <f t="shared" si="7"/>
        <v>0</v>
      </c>
      <c r="H105" t="b">
        <f>IF(AND(OR(Colectiva!E90=check!$D$14,Colectiva!E90=check!$D$16,Colectiva!E90=check!$D$17,Colectiva!E90=check!$D$18,Colectiva!E90=check!$D$19),OR(AND(ISNUMBER(Colectiva!H90),Colectiva!H90&gt;=12))),TRUE)</f>
        <v>0</v>
      </c>
      <c r="I105" s="40">
        <f>Colectiva!I90</f>
        <v>0</v>
      </c>
      <c r="J105" s="40" t="b">
        <f>IF(AND(Colectiva!D90="Trifásica",I105&gt;40),TRUE,IF(Colectiva!D90="Trifásica",IF(IFERROR(MATCH(I105,check!$H$23:$H$32,0),FALSE),TRUE),IF(IFERROR(MATCH(I105,check!$I$23:$I$45,0),FALSE),TRUE)))</f>
        <v>0</v>
      </c>
      <c r="K105" t="b">
        <f t="shared" si="5"/>
        <v>0</v>
      </c>
      <c r="L105" t="b">
        <f t="shared" si="6"/>
        <v>0</v>
      </c>
      <c r="N105" s="52">
        <f>Colectiva!Q90</f>
        <v>0</v>
      </c>
      <c r="O105" s="52" t="b">
        <f>IF(AND(Colectiva!M90="Trifásica",N105&gt;40),TRUE,IF(Colectiva!M90="Trifásica",IF(IFERROR(MATCH(N105,check!$H$23:$H$32,0),FALSE),TRUE),IF(IFERROR(MATCH(N105,check!$I$23:$I$45,0),FALSE),TRUE)))</f>
        <v>0</v>
      </c>
      <c r="P105" s="52" t="b">
        <f t="shared" si="8"/>
        <v>0</v>
      </c>
      <c r="Q105" t="b">
        <f>IF(AND(OR(Colectiva!N90=check!$D$14,Colectiva!N90=check!$D$16,Colectiva!N90=check!$D$17,Colectiva!N90=check!$D$18,Colectiva!N90=check!$D$19),OR(AND(ISNUMBER(Colectiva!Q90),Colectiva!Q90&gt;=12))),TRUE)</f>
        <v>0</v>
      </c>
      <c r="R105" s="40">
        <f>Colectiva!R90</f>
        <v>0</v>
      </c>
      <c r="S105" s="40" t="b">
        <f>IF(AND(Colectiva!M90="Trifásica",R105&gt;40),TRUE,IF(Colectiva!M90="Trifásica",IF(IFERROR(MATCH(R105,check!$H$23:$H$32,0),FALSE),TRUE),IF(IFERROR(MATCH(R105,check!$I$23:$I$45,0),FALSE),TRUE)))</f>
        <v>0</v>
      </c>
      <c r="T105" t="b">
        <f t="shared" si="3"/>
        <v>0</v>
      </c>
      <c r="U105" t="b">
        <f t="shared" si="4"/>
        <v>0</v>
      </c>
    </row>
    <row r="106" spans="5:21" x14ac:dyDescent="0.2">
      <c r="E106" s="52">
        <f>Colectiva!H91</f>
        <v>0</v>
      </c>
      <c r="F106" s="52" t="b">
        <f>IF(AND(Colectiva!D91="Trifásica",E106&gt;40),TRUE,IF(Colectiva!D91="Trifásica",IF(IFERROR(MATCH(E106,check!$H$23:$H$32,0),FALSE),TRUE),IF(IFERROR(MATCH(E106,check!$I$23:$I$45,0),FALSE),TRUE)))</f>
        <v>0</v>
      </c>
      <c r="G106" s="52" t="b">
        <f t="shared" si="7"/>
        <v>0</v>
      </c>
      <c r="H106" t="b">
        <f>IF(AND(OR(Colectiva!E91=check!$D$14,Colectiva!E91=check!$D$16,Colectiva!E91=check!$D$17,Colectiva!E91=check!$D$18,Colectiva!E91=check!$D$19),OR(AND(ISNUMBER(Colectiva!H91),Colectiva!H91&gt;=12))),TRUE)</f>
        <v>0</v>
      </c>
      <c r="I106" s="40">
        <f>Colectiva!I91</f>
        <v>0</v>
      </c>
      <c r="J106" s="40" t="b">
        <f>IF(AND(Colectiva!D91="Trifásica",I106&gt;40),TRUE,IF(Colectiva!D91="Trifásica",IF(IFERROR(MATCH(I106,check!$H$23:$H$32,0),FALSE),TRUE),IF(IFERROR(MATCH(I106,check!$I$23:$I$45,0),FALSE),TRUE)))</f>
        <v>0</v>
      </c>
      <c r="K106" t="b">
        <f t="shared" si="5"/>
        <v>0</v>
      </c>
      <c r="L106" t="b">
        <f t="shared" si="6"/>
        <v>0</v>
      </c>
      <c r="N106" s="52">
        <f>Colectiva!Q91</f>
        <v>0</v>
      </c>
      <c r="O106" s="52" t="b">
        <f>IF(AND(Colectiva!M91="Trifásica",N106&gt;40),TRUE,IF(Colectiva!M91="Trifásica",IF(IFERROR(MATCH(N106,check!$H$23:$H$32,0),FALSE),TRUE),IF(IFERROR(MATCH(N106,check!$I$23:$I$45,0),FALSE),TRUE)))</f>
        <v>0</v>
      </c>
      <c r="P106" s="52" t="b">
        <f t="shared" si="8"/>
        <v>0</v>
      </c>
      <c r="Q106" t="b">
        <f>IF(AND(OR(Colectiva!N91=check!$D$14,Colectiva!N91=check!$D$16,Colectiva!N91=check!$D$17,Colectiva!N91=check!$D$18,Colectiva!N91=check!$D$19),OR(AND(ISNUMBER(Colectiva!Q91),Colectiva!Q91&gt;=12))),TRUE)</f>
        <v>0</v>
      </c>
      <c r="R106" s="40">
        <f>Colectiva!R91</f>
        <v>0</v>
      </c>
      <c r="S106" s="40" t="b">
        <f>IF(AND(Colectiva!M91="Trifásica",R106&gt;40),TRUE,IF(Colectiva!M91="Trifásica",IF(IFERROR(MATCH(R106,check!$H$23:$H$32,0),FALSE),TRUE),IF(IFERROR(MATCH(R106,check!$I$23:$I$45,0),FALSE),TRUE)))</f>
        <v>0</v>
      </c>
      <c r="T106" t="b">
        <f t="shared" si="3"/>
        <v>0</v>
      </c>
      <c r="U106" t="b">
        <f t="shared" si="4"/>
        <v>0</v>
      </c>
    </row>
    <row r="107" spans="5:21" x14ac:dyDescent="0.2">
      <c r="E107" s="52">
        <f>Colectiva!H92</f>
        <v>0</v>
      </c>
      <c r="F107" s="52" t="b">
        <f>IF(AND(Colectiva!D92="Trifásica",E107&gt;40),TRUE,IF(Colectiva!D92="Trifásica",IF(IFERROR(MATCH(E107,check!$H$23:$H$32,0),FALSE),TRUE),IF(IFERROR(MATCH(E107,check!$I$23:$I$45,0),FALSE),TRUE)))</f>
        <v>0</v>
      </c>
      <c r="G107" s="52" t="b">
        <f t="shared" si="7"/>
        <v>0</v>
      </c>
      <c r="H107" t="b">
        <f>IF(AND(OR(Colectiva!E92=check!$D$14,Colectiva!E92=check!$D$16,Colectiva!E92=check!$D$17,Colectiva!E92=check!$D$18,Colectiva!E92=check!$D$19),OR(AND(ISNUMBER(Colectiva!H92),Colectiva!H92&gt;=12))),TRUE)</f>
        <v>0</v>
      </c>
      <c r="I107" s="40">
        <f>Colectiva!I92</f>
        <v>0</v>
      </c>
      <c r="J107" s="40" t="b">
        <f>IF(AND(Colectiva!D92="Trifásica",I107&gt;40),TRUE,IF(Colectiva!D92="Trifásica",IF(IFERROR(MATCH(I107,check!$H$23:$H$32,0),FALSE),TRUE),IF(IFERROR(MATCH(I107,check!$I$23:$I$45,0),FALSE),TRUE)))</f>
        <v>0</v>
      </c>
      <c r="K107" t="b">
        <f t="shared" si="5"/>
        <v>0</v>
      </c>
      <c r="L107" t="b">
        <f t="shared" si="6"/>
        <v>0</v>
      </c>
      <c r="N107" s="52">
        <f>Colectiva!Q92</f>
        <v>0</v>
      </c>
      <c r="O107" s="52" t="b">
        <f>IF(AND(Colectiva!M92="Trifásica",N107&gt;40),TRUE,IF(Colectiva!M92="Trifásica",IF(IFERROR(MATCH(N107,check!$H$23:$H$32,0),FALSE),TRUE),IF(IFERROR(MATCH(N107,check!$I$23:$I$45,0),FALSE),TRUE)))</f>
        <v>0</v>
      </c>
      <c r="P107" s="52" t="b">
        <f t="shared" si="8"/>
        <v>0</v>
      </c>
      <c r="Q107" t="b">
        <f>IF(AND(OR(Colectiva!N92=check!$D$14,Colectiva!N92=check!$D$16,Colectiva!N92=check!$D$17,Colectiva!N92=check!$D$18,Colectiva!N92=check!$D$19),OR(AND(ISNUMBER(Colectiva!Q92),Colectiva!Q92&gt;=12))),TRUE)</f>
        <v>0</v>
      </c>
      <c r="R107" s="40">
        <f>Colectiva!R92</f>
        <v>0</v>
      </c>
      <c r="S107" s="40" t="b">
        <f>IF(AND(Colectiva!M92="Trifásica",R107&gt;40),TRUE,IF(Colectiva!M92="Trifásica",IF(IFERROR(MATCH(R107,check!$H$23:$H$32,0),FALSE),TRUE),IF(IFERROR(MATCH(R107,check!$I$23:$I$45,0),FALSE),TRUE)))</f>
        <v>0</v>
      </c>
      <c r="T107" t="b">
        <f t="shared" si="3"/>
        <v>0</v>
      </c>
      <c r="U107" t="b">
        <f t="shared" si="4"/>
        <v>0</v>
      </c>
    </row>
    <row r="108" spans="5:21" x14ac:dyDescent="0.2">
      <c r="E108" s="52">
        <f>Colectiva!H93</f>
        <v>0</v>
      </c>
      <c r="F108" s="52" t="b">
        <f>IF(AND(Colectiva!D93="Trifásica",E108&gt;40),TRUE,IF(Colectiva!D93="Trifásica",IF(IFERROR(MATCH(E108,check!$H$23:$H$32,0),FALSE),TRUE),IF(IFERROR(MATCH(E108,check!$I$23:$I$45,0),FALSE),TRUE)))</f>
        <v>0</v>
      </c>
      <c r="G108" s="52" t="b">
        <f t="shared" si="7"/>
        <v>0</v>
      </c>
      <c r="H108" t="b">
        <f>IF(AND(OR(Colectiva!E93=check!$D$14,Colectiva!E93=check!$D$16,Colectiva!E93=check!$D$17,Colectiva!E93=check!$D$18,Colectiva!E93=check!$D$19),OR(AND(ISNUMBER(Colectiva!H93),Colectiva!H93&gt;=12))),TRUE)</f>
        <v>0</v>
      </c>
      <c r="I108" s="40">
        <f>Colectiva!I93</f>
        <v>0</v>
      </c>
      <c r="J108" s="40" t="b">
        <f>IF(AND(Colectiva!D93="Trifásica",I108&gt;40),TRUE,IF(Colectiva!D93="Trifásica",IF(IFERROR(MATCH(I108,check!$H$23:$H$32,0),FALSE),TRUE),IF(IFERROR(MATCH(I108,check!$I$23:$I$45,0),FALSE),TRUE)))</f>
        <v>0</v>
      </c>
      <c r="K108" t="b">
        <f t="shared" si="5"/>
        <v>0</v>
      </c>
      <c r="L108" t="b">
        <f t="shared" si="6"/>
        <v>0</v>
      </c>
      <c r="N108" s="52">
        <f>Colectiva!Q93</f>
        <v>0</v>
      </c>
      <c r="O108" s="52" t="b">
        <f>IF(AND(Colectiva!M93="Trifásica",N108&gt;40),TRUE,IF(Colectiva!M93="Trifásica",IF(IFERROR(MATCH(N108,check!$H$23:$H$32,0),FALSE),TRUE),IF(IFERROR(MATCH(N108,check!$I$23:$I$45,0),FALSE),TRUE)))</f>
        <v>0</v>
      </c>
      <c r="P108" s="52" t="b">
        <f t="shared" si="8"/>
        <v>0</v>
      </c>
      <c r="Q108" t="b">
        <f>IF(AND(OR(Colectiva!N93=check!$D$14,Colectiva!N93=check!$D$16,Colectiva!N93=check!$D$17,Colectiva!N93=check!$D$18,Colectiva!N93=check!$D$19),OR(AND(ISNUMBER(Colectiva!Q93),Colectiva!Q93&gt;=12))),TRUE)</f>
        <v>0</v>
      </c>
      <c r="R108" s="40">
        <f>Colectiva!R93</f>
        <v>0</v>
      </c>
      <c r="S108" s="40" t="b">
        <f>IF(AND(Colectiva!M93="Trifásica",R108&gt;40),TRUE,IF(Colectiva!M93="Trifásica",IF(IFERROR(MATCH(R108,check!$H$23:$H$32,0),FALSE),TRUE),IF(IFERROR(MATCH(R108,check!$I$23:$I$45,0),FALSE),TRUE)))</f>
        <v>0</v>
      </c>
      <c r="T108" t="b">
        <f t="shared" si="3"/>
        <v>0</v>
      </c>
      <c r="U108" t="b">
        <f t="shared" si="4"/>
        <v>0</v>
      </c>
    </row>
    <row r="109" spans="5:21" x14ac:dyDescent="0.2">
      <c r="E109" s="52">
        <f>Colectiva!H94</f>
        <v>0</v>
      </c>
      <c r="F109" s="52" t="b">
        <f>IF(AND(Colectiva!D94="Trifásica",E109&gt;40),TRUE,IF(Colectiva!D94="Trifásica",IF(IFERROR(MATCH(E109,check!$H$23:$H$32,0),FALSE),TRUE),IF(IFERROR(MATCH(E109,check!$I$23:$I$45,0),FALSE),TRUE)))</f>
        <v>0</v>
      </c>
      <c r="G109" s="52" t="b">
        <f t="shared" si="7"/>
        <v>0</v>
      </c>
      <c r="H109" t="b">
        <f>IF(AND(OR(Colectiva!E94=check!$D$14,Colectiva!E94=check!$D$16,Colectiva!E94=check!$D$17,Colectiva!E94=check!$D$18,Colectiva!E94=check!$D$19),OR(AND(ISNUMBER(Colectiva!H94),Colectiva!H94&gt;=12))),TRUE)</f>
        <v>0</v>
      </c>
      <c r="I109" s="40">
        <f>Colectiva!I94</f>
        <v>0</v>
      </c>
      <c r="J109" s="40" t="b">
        <f>IF(AND(Colectiva!D94="Trifásica",I109&gt;40),TRUE,IF(Colectiva!D94="Trifásica",IF(IFERROR(MATCH(I109,check!$H$23:$H$32,0),FALSE),TRUE),IF(IFERROR(MATCH(I109,check!$I$23:$I$45,0),FALSE),TRUE)))</f>
        <v>0</v>
      </c>
      <c r="K109" t="b">
        <f t="shared" si="5"/>
        <v>0</v>
      </c>
      <c r="L109" t="b">
        <f t="shared" si="6"/>
        <v>0</v>
      </c>
      <c r="N109" s="52">
        <f>Colectiva!Q94</f>
        <v>0</v>
      </c>
      <c r="O109" s="52" t="b">
        <f>IF(AND(Colectiva!M94="Trifásica",N109&gt;40),TRUE,IF(Colectiva!M94="Trifásica",IF(IFERROR(MATCH(N109,check!$H$23:$H$32,0),FALSE),TRUE),IF(IFERROR(MATCH(N109,check!$I$23:$I$45,0),FALSE),TRUE)))</f>
        <v>0</v>
      </c>
      <c r="P109" s="52" t="b">
        <f t="shared" si="8"/>
        <v>0</v>
      </c>
      <c r="Q109" t="b">
        <f>IF(AND(OR(Colectiva!N94=check!$D$14,Colectiva!N94=check!$D$16,Colectiva!N94=check!$D$17,Colectiva!N94=check!$D$18,Colectiva!N94=check!$D$19),OR(AND(ISNUMBER(Colectiva!Q94),Colectiva!Q94&gt;=12))),TRUE)</f>
        <v>0</v>
      </c>
      <c r="R109" s="40">
        <f>Colectiva!R94</f>
        <v>0</v>
      </c>
      <c r="S109" s="40" t="b">
        <f>IF(AND(Colectiva!M94="Trifásica",R109&gt;40),TRUE,IF(Colectiva!M94="Trifásica",IF(IFERROR(MATCH(R109,check!$H$23:$H$32,0),FALSE),TRUE),IF(IFERROR(MATCH(R109,check!$I$23:$I$45,0),FALSE),TRUE)))</f>
        <v>0</v>
      </c>
      <c r="T109" t="b">
        <f t="shared" si="3"/>
        <v>0</v>
      </c>
      <c r="U109" t="b">
        <f t="shared" si="4"/>
        <v>0</v>
      </c>
    </row>
    <row r="110" spans="5:21" x14ac:dyDescent="0.2">
      <c r="E110" s="52">
        <f>Colectiva!H95</f>
        <v>0</v>
      </c>
      <c r="F110" s="52" t="b">
        <f>IF(AND(Colectiva!D95="Trifásica",E110&gt;40),TRUE,IF(Colectiva!D95="Trifásica",IF(IFERROR(MATCH(E110,check!$H$23:$H$32,0),FALSE),TRUE),IF(IFERROR(MATCH(E110,check!$I$23:$I$45,0),FALSE),TRUE)))</f>
        <v>0</v>
      </c>
      <c r="G110" s="52" t="b">
        <f t="shared" si="7"/>
        <v>0</v>
      </c>
      <c r="H110" t="b">
        <f>IF(AND(OR(Colectiva!E95=check!$D$14,Colectiva!E95=check!$D$16,Colectiva!E95=check!$D$17,Colectiva!E95=check!$D$18,Colectiva!E95=check!$D$19),OR(AND(ISNUMBER(Colectiva!H95),Colectiva!H95&gt;=12))),TRUE)</f>
        <v>0</v>
      </c>
      <c r="I110" s="40">
        <f>Colectiva!I95</f>
        <v>0</v>
      </c>
      <c r="J110" s="40" t="b">
        <f>IF(AND(Colectiva!D95="Trifásica",I110&gt;40),TRUE,IF(Colectiva!D95="Trifásica",IF(IFERROR(MATCH(I110,check!$H$23:$H$32,0),FALSE),TRUE),IF(IFERROR(MATCH(I110,check!$I$23:$I$45,0),FALSE),TRUE)))</f>
        <v>0</v>
      </c>
      <c r="K110" t="b">
        <f t="shared" si="5"/>
        <v>0</v>
      </c>
      <c r="L110" t="b">
        <f t="shared" si="6"/>
        <v>0</v>
      </c>
      <c r="N110" s="52">
        <f>Colectiva!Q95</f>
        <v>0</v>
      </c>
      <c r="O110" s="52" t="b">
        <f>IF(AND(Colectiva!M95="Trifásica",N110&gt;40),TRUE,IF(Colectiva!M95="Trifásica",IF(IFERROR(MATCH(N110,check!$H$23:$H$32,0),FALSE),TRUE),IF(IFERROR(MATCH(N110,check!$I$23:$I$45,0),FALSE),TRUE)))</f>
        <v>0</v>
      </c>
      <c r="P110" s="52" t="b">
        <f t="shared" si="8"/>
        <v>0</v>
      </c>
      <c r="Q110" t="b">
        <f>IF(AND(OR(Colectiva!N95=check!$D$14,Colectiva!N95=check!$D$16,Colectiva!N95=check!$D$17,Colectiva!N95=check!$D$18,Colectiva!N95=check!$D$19),OR(AND(ISNUMBER(Colectiva!Q95),Colectiva!Q95&gt;=12))),TRUE)</f>
        <v>0</v>
      </c>
      <c r="R110" s="40">
        <f>Colectiva!R95</f>
        <v>0</v>
      </c>
      <c r="S110" s="40" t="b">
        <f>IF(AND(Colectiva!M95="Trifásica",R110&gt;40),TRUE,IF(Colectiva!M95="Trifásica",IF(IFERROR(MATCH(R110,check!$H$23:$H$32,0),FALSE),TRUE),IF(IFERROR(MATCH(R110,check!$I$23:$I$45,0),FALSE),TRUE)))</f>
        <v>0</v>
      </c>
      <c r="T110" t="b">
        <f t="shared" si="3"/>
        <v>0</v>
      </c>
      <c r="U110" t="b">
        <f t="shared" si="4"/>
        <v>0</v>
      </c>
    </row>
    <row r="111" spans="5:21" x14ac:dyDescent="0.2">
      <c r="E111" s="52">
        <f>Colectiva!H96</f>
        <v>0</v>
      </c>
      <c r="F111" s="52" t="b">
        <f>IF(AND(Colectiva!D96="Trifásica",E111&gt;40),TRUE,IF(Colectiva!D96="Trifásica",IF(IFERROR(MATCH(E111,check!$H$23:$H$32,0),FALSE),TRUE),IF(IFERROR(MATCH(E111,check!$I$23:$I$45,0),FALSE),TRUE)))</f>
        <v>0</v>
      </c>
      <c r="G111" s="52" t="b">
        <f t="shared" si="7"/>
        <v>0</v>
      </c>
      <c r="H111" t="b">
        <f>IF(AND(OR(Colectiva!E96=check!$D$14,Colectiva!E96=check!$D$16,Colectiva!E96=check!$D$17,Colectiva!E96=check!$D$18,Colectiva!E96=check!$D$19),OR(AND(ISNUMBER(Colectiva!H96),Colectiva!H96&gt;=12))),TRUE)</f>
        <v>0</v>
      </c>
      <c r="I111" s="40">
        <f>Colectiva!I96</f>
        <v>0</v>
      </c>
      <c r="J111" s="40" t="b">
        <f>IF(AND(Colectiva!D96="Trifásica",I111&gt;40),TRUE,IF(Colectiva!D96="Trifásica",IF(IFERROR(MATCH(I111,check!$H$23:$H$32,0),FALSE),TRUE),IF(IFERROR(MATCH(I111,check!$I$23:$I$45,0),FALSE),TRUE)))</f>
        <v>0</v>
      </c>
      <c r="K111" t="b">
        <f t="shared" si="5"/>
        <v>0</v>
      </c>
      <c r="L111" t="b">
        <f t="shared" si="6"/>
        <v>0</v>
      </c>
      <c r="N111" s="52">
        <f>Colectiva!Q96</f>
        <v>0</v>
      </c>
      <c r="O111" s="52" t="b">
        <f>IF(AND(Colectiva!M96="Trifásica",N111&gt;40),TRUE,IF(Colectiva!M96="Trifásica",IF(IFERROR(MATCH(N111,check!$H$23:$H$32,0),FALSE),TRUE),IF(IFERROR(MATCH(N111,check!$I$23:$I$45,0),FALSE),TRUE)))</f>
        <v>0</v>
      </c>
      <c r="P111" s="52" t="b">
        <f t="shared" si="8"/>
        <v>0</v>
      </c>
      <c r="Q111" t="b">
        <f>IF(AND(OR(Colectiva!N96=check!$D$14,Colectiva!N96=check!$D$16,Colectiva!N96=check!$D$17,Colectiva!N96=check!$D$18,Colectiva!N96=check!$D$19),OR(AND(ISNUMBER(Colectiva!Q96),Colectiva!Q96&gt;=12))),TRUE)</f>
        <v>0</v>
      </c>
      <c r="R111" s="40">
        <f>Colectiva!R96</f>
        <v>0</v>
      </c>
      <c r="S111" s="40" t="b">
        <f>IF(AND(Colectiva!M96="Trifásica",R111&gt;40),TRUE,IF(Colectiva!M96="Trifásica",IF(IFERROR(MATCH(R111,check!$H$23:$H$32,0),FALSE),TRUE),IF(IFERROR(MATCH(R111,check!$I$23:$I$45,0),FALSE),TRUE)))</f>
        <v>0</v>
      </c>
      <c r="T111" t="b">
        <f t="shared" si="3"/>
        <v>0</v>
      </c>
      <c r="U111" t="b">
        <f t="shared" si="4"/>
        <v>0</v>
      </c>
    </row>
    <row r="112" spans="5:21" x14ac:dyDescent="0.2">
      <c r="E112" s="52">
        <f>Colectiva!H97</f>
        <v>0</v>
      </c>
      <c r="F112" s="52" t="b">
        <f>IF(AND(Colectiva!D97="Trifásica",E112&gt;40),TRUE,IF(Colectiva!D97="Trifásica",IF(IFERROR(MATCH(E112,check!$H$23:$H$32,0),FALSE),TRUE),IF(IFERROR(MATCH(E112,check!$I$23:$I$45,0),FALSE),TRUE)))</f>
        <v>0</v>
      </c>
      <c r="G112" s="52" t="b">
        <f t="shared" si="7"/>
        <v>0</v>
      </c>
      <c r="H112" t="b">
        <f>IF(AND(OR(Colectiva!E97=check!$D$14,Colectiva!E97=check!$D$16,Colectiva!E97=check!$D$17,Colectiva!E97=check!$D$18,Colectiva!E97=check!$D$19),OR(AND(ISNUMBER(Colectiva!H97),Colectiva!H97&gt;=12))),TRUE)</f>
        <v>0</v>
      </c>
      <c r="I112" s="40">
        <f>Colectiva!I97</f>
        <v>0</v>
      </c>
      <c r="J112" s="40" t="b">
        <f>IF(AND(Colectiva!D97="Trifásica",I112&gt;40),TRUE,IF(Colectiva!D97="Trifásica",IF(IFERROR(MATCH(I112,check!$H$23:$H$32,0),FALSE),TRUE),IF(IFERROR(MATCH(I112,check!$I$23:$I$45,0),FALSE),TRUE)))</f>
        <v>0</v>
      </c>
      <c r="K112" t="b">
        <f t="shared" si="5"/>
        <v>0</v>
      </c>
      <c r="L112" t="b">
        <f t="shared" si="6"/>
        <v>0</v>
      </c>
      <c r="N112" s="52">
        <f>Colectiva!Q97</f>
        <v>0</v>
      </c>
      <c r="O112" s="52" t="b">
        <f>IF(AND(Colectiva!M97="Trifásica",N112&gt;40),TRUE,IF(Colectiva!M97="Trifásica",IF(IFERROR(MATCH(N112,check!$H$23:$H$32,0),FALSE),TRUE),IF(IFERROR(MATCH(N112,check!$I$23:$I$45,0),FALSE),TRUE)))</f>
        <v>0</v>
      </c>
      <c r="P112" s="52" t="b">
        <f t="shared" si="8"/>
        <v>0</v>
      </c>
      <c r="Q112" t="b">
        <f>IF(AND(OR(Colectiva!N97=check!$D$14,Colectiva!N97=check!$D$16,Colectiva!N97=check!$D$17,Colectiva!N97=check!$D$18,Colectiva!N97=check!$D$19),OR(AND(ISNUMBER(Colectiva!Q97),Colectiva!Q97&gt;=12))),TRUE)</f>
        <v>0</v>
      </c>
      <c r="R112" s="40">
        <f>Colectiva!R97</f>
        <v>0</v>
      </c>
      <c r="S112" s="40" t="b">
        <f>IF(AND(Colectiva!M97="Trifásica",R112&gt;40),TRUE,IF(Colectiva!M97="Trifásica",IF(IFERROR(MATCH(R112,check!$H$23:$H$32,0),FALSE),TRUE),IF(IFERROR(MATCH(R112,check!$I$23:$I$45,0),FALSE),TRUE)))</f>
        <v>0</v>
      </c>
      <c r="T112" t="b">
        <f t="shared" si="3"/>
        <v>0</v>
      </c>
      <c r="U112" t="b">
        <f t="shared" si="4"/>
        <v>0</v>
      </c>
    </row>
    <row r="113" spans="5:21" x14ac:dyDescent="0.2">
      <c r="E113" s="52">
        <f>Colectiva!H98</f>
        <v>0</v>
      </c>
      <c r="F113" s="52" t="b">
        <f>IF(AND(Colectiva!D98="Trifásica",E113&gt;40),TRUE,IF(Colectiva!D98="Trifásica",IF(IFERROR(MATCH(E113,check!$H$23:$H$32,0),FALSE),TRUE),IF(IFERROR(MATCH(E113,check!$I$23:$I$45,0),FALSE),TRUE)))</f>
        <v>0</v>
      </c>
      <c r="G113" s="52" t="b">
        <f t="shared" si="7"/>
        <v>0</v>
      </c>
      <c r="H113" t="b">
        <f>IF(AND(OR(Colectiva!E98=check!$D$14,Colectiva!E98=check!$D$16,Colectiva!E98=check!$D$17,Colectiva!E98=check!$D$18,Colectiva!E98=check!$D$19),OR(AND(ISNUMBER(Colectiva!H98),Colectiva!H98&gt;=12))),TRUE)</f>
        <v>0</v>
      </c>
      <c r="I113" s="40">
        <f>Colectiva!I98</f>
        <v>0</v>
      </c>
      <c r="J113" s="40" t="b">
        <f>IF(AND(Colectiva!D98="Trifásica",I113&gt;40),TRUE,IF(Colectiva!D98="Trifásica",IF(IFERROR(MATCH(I113,check!$H$23:$H$32,0),FALSE),TRUE),IF(IFERROR(MATCH(I113,check!$I$23:$I$45,0),FALSE),TRUE)))</f>
        <v>0</v>
      </c>
      <c r="K113" t="b">
        <f t="shared" si="5"/>
        <v>0</v>
      </c>
      <c r="L113" t="b">
        <f t="shared" si="6"/>
        <v>0</v>
      </c>
      <c r="N113" s="52">
        <f>Colectiva!Q98</f>
        <v>0</v>
      </c>
      <c r="O113" s="52" t="b">
        <f>IF(AND(Colectiva!M98="Trifásica",N113&gt;40),TRUE,IF(Colectiva!M98="Trifásica",IF(IFERROR(MATCH(N113,check!$H$23:$H$32,0),FALSE),TRUE),IF(IFERROR(MATCH(N113,check!$I$23:$I$45,0),FALSE),TRUE)))</f>
        <v>0</v>
      </c>
      <c r="P113" s="52" t="b">
        <f t="shared" si="8"/>
        <v>0</v>
      </c>
      <c r="Q113" t="b">
        <f>IF(AND(OR(Colectiva!N98=check!$D$14,Colectiva!N98=check!$D$16,Colectiva!N98=check!$D$17,Colectiva!N98=check!$D$18,Colectiva!N98=check!$D$19),OR(AND(ISNUMBER(Colectiva!Q98),Colectiva!Q98&gt;=12))),TRUE)</f>
        <v>0</v>
      </c>
      <c r="R113" s="40">
        <f>Colectiva!R98</f>
        <v>0</v>
      </c>
      <c r="S113" s="40" t="b">
        <f>IF(AND(Colectiva!M98="Trifásica",R113&gt;40),TRUE,IF(Colectiva!M98="Trifásica",IF(IFERROR(MATCH(R113,check!$H$23:$H$32,0),FALSE),TRUE),IF(IFERROR(MATCH(R113,check!$I$23:$I$45,0),FALSE),TRUE)))</f>
        <v>0</v>
      </c>
      <c r="T113" t="b">
        <f t="shared" si="3"/>
        <v>0</v>
      </c>
      <c r="U113" t="b">
        <f t="shared" si="4"/>
        <v>0</v>
      </c>
    </row>
    <row r="114" spans="5:21" x14ac:dyDescent="0.2">
      <c r="E114" s="52">
        <f>Colectiva!H99</f>
        <v>0</v>
      </c>
      <c r="F114" s="52" t="b">
        <f>IF(AND(Colectiva!D99="Trifásica",E114&gt;40),TRUE,IF(Colectiva!D99="Trifásica",IF(IFERROR(MATCH(E114,check!$H$23:$H$32,0),FALSE),TRUE),IF(IFERROR(MATCH(E114,check!$I$23:$I$45,0),FALSE),TRUE)))</f>
        <v>0</v>
      </c>
      <c r="G114" s="52" t="b">
        <f t="shared" si="7"/>
        <v>0</v>
      </c>
      <c r="H114" t="b">
        <f>IF(AND(OR(Colectiva!E99=check!$D$14,Colectiva!E99=check!$D$16,Colectiva!E99=check!$D$17,Colectiva!E99=check!$D$18,Colectiva!E99=check!$D$19),OR(AND(ISNUMBER(Colectiva!H99),Colectiva!H99&gt;=12))),TRUE)</f>
        <v>0</v>
      </c>
      <c r="I114" s="40">
        <f>Colectiva!I99</f>
        <v>0</v>
      </c>
      <c r="J114" s="40" t="b">
        <f>IF(AND(Colectiva!D99="Trifásica",I114&gt;40),TRUE,IF(Colectiva!D99="Trifásica",IF(IFERROR(MATCH(I114,check!$H$23:$H$32,0),FALSE),TRUE),IF(IFERROR(MATCH(I114,check!$I$23:$I$45,0),FALSE),TRUE)))</f>
        <v>0</v>
      </c>
      <c r="K114" t="b">
        <f t="shared" si="5"/>
        <v>0</v>
      </c>
      <c r="L114" t="b">
        <f t="shared" si="6"/>
        <v>0</v>
      </c>
      <c r="N114" s="52">
        <f>Colectiva!Q99</f>
        <v>0</v>
      </c>
      <c r="O114" s="52" t="b">
        <f>IF(AND(Colectiva!M99="Trifásica",N114&gt;40),TRUE,IF(Colectiva!M99="Trifásica",IF(IFERROR(MATCH(N114,check!$H$23:$H$32,0),FALSE),TRUE),IF(IFERROR(MATCH(N114,check!$I$23:$I$45,0),FALSE),TRUE)))</f>
        <v>0</v>
      </c>
      <c r="P114" s="52" t="b">
        <f t="shared" si="8"/>
        <v>0</v>
      </c>
      <c r="Q114" t="b">
        <f>IF(AND(OR(Colectiva!N99=check!$D$14,Colectiva!N99=check!$D$16,Colectiva!N99=check!$D$17,Colectiva!N99=check!$D$18,Colectiva!N99=check!$D$19),OR(AND(ISNUMBER(Colectiva!Q99),Colectiva!Q99&gt;=12))),TRUE)</f>
        <v>0</v>
      </c>
      <c r="R114" s="40">
        <f>Colectiva!R99</f>
        <v>0</v>
      </c>
      <c r="S114" s="40" t="b">
        <f>IF(AND(Colectiva!M99="Trifásica",R114&gt;40),TRUE,IF(Colectiva!M99="Trifásica",IF(IFERROR(MATCH(R114,check!$H$23:$H$32,0),FALSE),TRUE),IF(IFERROR(MATCH(R114,check!$I$23:$I$45,0),FALSE),TRUE)))</f>
        <v>0</v>
      </c>
      <c r="T114" t="b">
        <f t="shared" si="3"/>
        <v>0</v>
      </c>
      <c r="U114" t="b">
        <f t="shared" si="4"/>
        <v>0</v>
      </c>
    </row>
    <row r="115" spans="5:21" x14ac:dyDescent="0.2">
      <c r="E115" s="52">
        <f>Colectiva!H100</f>
        <v>0</v>
      </c>
      <c r="F115" s="52" t="b">
        <f>IF(AND(Colectiva!D100="Trifásica",E115&gt;40),TRUE,IF(Colectiva!D100="Trifásica",IF(IFERROR(MATCH(E115,check!$H$23:$H$32,0),FALSE),TRUE),IF(IFERROR(MATCH(E115,check!$I$23:$I$45,0),FALSE),TRUE)))</f>
        <v>0</v>
      </c>
      <c r="G115" s="52" t="b">
        <f t="shared" si="7"/>
        <v>0</v>
      </c>
      <c r="H115" t="b">
        <f>IF(AND(OR(Colectiva!E100=check!$D$14,Colectiva!E100=check!$D$16,Colectiva!E100=check!$D$17,Colectiva!E100=check!$D$18,Colectiva!E100=check!$D$19),OR(AND(ISNUMBER(Colectiva!H100),Colectiva!H100&gt;=12))),TRUE)</f>
        <v>0</v>
      </c>
      <c r="I115" s="40">
        <f>Colectiva!I100</f>
        <v>0</v>
      </c>
      <c r="J115" s="40" t="b">
        <f>IF(AND(Colectiva!D100="Trifásica",I115&gt;40),TRUE,IF(Colectiva!D100="Trifásica",IF(IFERROR(MATCH(I115,check!$H$23:$H$32,0),FALSE),TRUE),IF(IFERROR(MATCH(I115,check!$I$23:$I$45,0),FALSE),TRUE)))</f>
        <v>0</v>
      </c>
      <c r="K115" t="b">
        <f t="shared" si="5"/>
        <v>0</v>
      </c>
      <c r="L115" t="b">
        <f t="shared" si="6"/>
        <v>0</v>
      </c>
      <c r="N115" s="52">
        <f>Colectiva!Q100</f>
        <v>0</v>
      </c>
      <c r="O115" s="52" t="b">
        <f>IF(AND(Colectiva!M100="Trifásica",N115&gt;40),TRUE,IF(Colectiva!M100="Trifásica",IF(IFERROR(MATCH(N115,check!$H$23:$H$32,0),FALSE),TRUE),IF(IFERROR(MATCH(N115,check!$I$23:$I$45,0),FALSE),TRUE)))</f>
        <v>0</v>
      </c>
      <c r="P115" s="52" t="b">
        <f t="shared" si="8"/>
        <v>0</v>
      </c>
      <c r="Q115" t="b">
        <f>IF(AND(OR(Colectiva!N100=check!$D$14,Colectiva!N100=check!$D$16,Colectiva!N100=check!$D$17,Colectiva!N100=check!$D$18,Colectiva!N100=check!$D$19),OR(AND(ISNUMBER(Colectiva!Q100),Colectiva!Q100&gt;=12))),TRUE)</f>
        <v>0</v>
      </c>
      <c r="R115" s="40">
        <f>Colectiva!R100</f>
        <v>0</v>
      </c>
      <c r="S115" s="40" t="b">
        <f>IF(AND(Colectiva!M100="Trifásica",R115&gt;40),TRUE,IF(Colectiva!M100="Trifásica",IF(IFERROR(MATCH(R115,check!$H$23:$H$32,0),FALSE),TRUE),IF(IFERROR(MATCH(R115,check!$I$23:$I$45,0),FALSE),TRUE)))</f>
        <v>0</v>
      </c>
      <c r="T115" t="b">
        <f t="shared" si="3"/>
        <v>0</v>
      </c>
      <c r="U115" t="b">
        <f t="shared" si="4"/>
        <v>0</v>
      </c>
    </row>
    <row r="116" spans="5:21" x14ac:dyDescent="0.2">
      <c r="E116" s="52">
        <f>Colectiva!H101</f>
        <v>0</v>
      </c>
      <c r="F116" s="52" t="b">
        <f>IF(AND(Colectiva!D101="Trifásica",E116&gt;40),TRUE,IF(Colectiva!D101="Trifásica",IF(IFERROR(MATCH(E116,check!$H$23:$H$32,0),FALSE),TRUE),IF(IFERROR(MATCH(E116,check!$I$23:$I$45,0),FALSE),TRUE)))</f>
        <v>0</v>
      </c>
      <c r="G116" s="52" t="b">
        <f t="shared" si="7"/>
        <v>0</v>
      </c>
      <c r="H116" t="b">
        <f>IF(AND(OR(Colectiva!E101=check!$D$14,Colectiva!E101=check!$D$16,Colectiva!E101=check!$D$17,Colectiva!E101=check!$D$18,Colectiva!E101=check!$D$19),OR(AND(ISNUMBER(Colectiva!H101),Colectiva!H101&gt;=12))),TRUE)</f>
        <v>0</v>
      </c>
      <c r="I116" s="40">
        <f>Colectiva!I101</f>
        <v>0</v>
      </c>
      <c r="J116" s="40" t="b">
        <f>IF(AND(Colectiva!D101="Trifásica",I116&gt;40),TRUE,IF(Colectiva!D101="Trifásica",IF(IFERROR(MATCH(I116,check!$H$23:$H$32,0),FALSE),TRUE),IF(IFERROR(MATCH(I116,check!$I$23:$I$45,0),FALSE),TRUE)))</f>
        <v>0</v>
      </c>
      <c r="K116" t="b">
        <f t="shared" si="5"/>
        <v>0</v>
      </c>
      <c r="L116" t="b">
        <f t="shared" si="6"/>
        <v>0</v>
      </c>
      <c r="N116" s="52">
        <f>Colectiva!Q101</f>
        <v>0</v>
      </c>
      <c r="O116" s="52" t="b">
        <f>IF(AND(Colectiva!M101="Trifásica",N116&gt;40),TRUE,IF(Colectiva!M101="Trifásica",IF(IFERROR(MATCH(N116,check!$H$23:$H$32,0),FALSE),TRUE),IF(IFERROR(MATCH(N116,check!$I$23:$I$45,0),FALSE),TRUE)))</f>
        <v>0</v>
      </c>
      <c r="P116" s="52" t="b">
        <f t="shared" si="8"/>
        <v>0</v>
      </c>
      <c r="Q116" t="b">
        <f>IF(AND(OR(Colectiva!N101=check!$D$14,Colectiva!N101=check!$D$16,Colectiva!N101=check!$D$17,Colectiva!N101=check!$D$18,Colectiva!N101=check!$D$19),OR(AND(ISNUMBER(Colectiva!Q101),Colectiva!Q101&gt;=12))),TRUE)</f>
        <v>0</v>
      </c>
      <c r="R116" s="40">
        <f>Colectiva!R101</f>
        <v>0</v>
      </c>
      <c r="S116" s="40" t="b">
        <f>IF(AND(Colectiva!M101="Trifásica",R116&gt;40),TRUE,IF(Colectiva!M101="Trifásica",IF(IFERROR(MATCH(R116,check!$H$23:$H$32,0),FALSE),TRUE),IF(IFERROR(MATCH(R116,check!$I$23:$I$45,0),FALSE),TRUE)))</f>
        <v>0</v>
      </c>
      <c r="T116" t="b">
        <f t="shared" si="3"/>
        <v>0</v>
      </c>
      <c r="U116" t="b">
        <f t="shared" si="4"/>
        <v>0</v>
      </c>
    </row>
    <row r="117" spans="5:21" x14ac:dyDescent="0.2">
      <c r="E117" s="52">
        <f>Colectiva!H102</f>
        <v>0</v>
      </c>
      <c r="F117" s="52" t="b">
        <f>IF(AND(Colectiva!D102="Trifásica",E117&gt;40),TRUE,IF(Colectiva!D102="Trifásica",IF(IFERROR(MATCH(E117,check!$H$23:$H$32,0),FALSE),TRUE),IF(IFERROR(MATCH(E117,check!$I$23:$I$45,0),FALSE),TRUE)))</f>
        <v>0</v>
      </c>
      <c r="G117" s="52" t="b">
        <f t="shared" si="7"/>
        <v>0</v>
      </c>
      <c r="H117" t="b">
        <f>IF(AND(OR(Colectiva!E102=check!$D$14,Colectiva!E102=check!$D$16,Colectiva!E102=check!$D$17,Colectiva!E102=check!$D$18,Colectiva!E102=check!$D$19),OR(AND(ISNUMBER(Colectiva!H102),Colectiva!H102&gt;=12))),TRUE)</f>
        <v>0</v>
      </c>
      <c r="I117" s="40">
        <f>Colectiva!I102</f>
        <v>0</v>
      </c>
      <c r="J117" s="40" t="b">
        <f>IF(AND(Colectiva!D102="Trifásica",I117&gt;40),TRUE,IF(Colectiva!D102="Trifásica",IF(IFERROR(MATCH(I117,check!$H$23:$H$32,0),FALSE),TRUE),IF(IFERROR(MATCH(I117,check!$I$23:$I$45,0),FALSE),TRUE)))</f>
        <v>0</v>
      </c>
      <c r="K117" t="b">
        <f t="shared" si="5"/>
        <v>0</v>
      </c>
      <c r="L117" t="b">
        <f t="shared" si="6"/>
        <v>0</v>
      </c>
      <c r="N117" s="52">
        <f>Colectiva!Q102</f>
        <v>0</v>
      </c>
      <c r="O117" s="52" t="b">
        <f>IF(AND(Colectiva!M102="Trifásica",N117&gt;40),TRUE,IF(Colectiva!M102="Trifásica",IF(IFERROR(MATCH(N117,check!$H$23:$H$32,0),FALSE),TRUE),IF(IFERROR(MATCH(N117,check!$I$23:$I$45,0),FALSE),TRUE)))</f>
        <v>0</v>
      </c>
      <c r="P117" s="52" t="b">
        <f t="shared" si="8"/>
        <v>0</v>
      </c>
      <c r="Q117" t="b">
        <f>IF(AND(OR(Colectiva!N102=check!$D$14,Colectiva!N102=check!$D$16,Colectiva!N102=check!$D$17,Colectiva!N102=check!$D$18,Colectiva!N102=check!$D$19),OR(AND(ISNUMBER(Colectiva!Q102),Colectiva!Q102&gt;=12))),TRUE)</f>
        <v>0</v>
      </c>
      <c r="R117" s="40">
        <f>Colectiva!R102</f>
        <v>0</v>
      </c>
      <c r="S117" s="40" t="b">
        <f>IF(AND(Colectiva!M102="Trifásica",R117&gt;40),TRUE,IF(Colectiva!M102="Trifásica",IF(IFERROR(MATCH(R117,check!$H$23:$H$32,0),FALSE),TRUE),IF(IFERROR(MATCH(R117,check!$I$23:$I$45,0),FALSE),TRUE)))</f>
        <v>0</v>
      </c>
      <c r="T117" t="b">
        <f t="shared" si="3"/>
        <v>0</v>
      </c>
      <c r="U117" t="b">
        <f t="shared" si="4"/>
        <v>0</v>
      </c>
    </row>
    <row r="118" spans="5:21" x14ac:dyDescent="0.2">
      <c r="E118" s="52">
        <f>Colectiva!H103</f>
        <v>0</v>
      </c>
      <c r="F118" s="52" t="b">
        <f>IF(AND(Colectiva!D103="Trifásica",E118&gt;40),TRUE,IF(Colectiva!D103="Trifásica",IF(IFERROR(MATCH(E118,check!$H$23:$H$32,0),FALSE),TRUE),IF(IFERROR(MATCH(E118,check!$I$23:$I$45,0),FALSE),TRUE)))</f>
        <v>0</v>
      </c>
      <c r="G118" s="52" t="b">
        <f t="shared" si="7"/>
        <v>0</v>
      </c>
      <c r="H118" t="b">
        <f>IF(AND(OR(Colectiva!E103=check!$D$14,Colectiva!E103=check!$D$16,Colectiva!E103=check!$D$17,Colectiva!E103=check!$D$18,Colectiva!E103=check!$D$19),OR(AND(ISNUMBER(Colectiva!H103),Colectiva!H103&gt;=12))),TRUE)</f>
        <v>0</v>
      </c>
      <c r="I118" s="40">
        <f>Colectiva!I103</f>
        <v>0</v>
      </c>
      <c r="J118" s="40" t="b">
        <f>IF(AND(Colectiva!D103="Trifásica",I118&gt;40),TRUE,IF(Colectiva!D103="Trifásica",IF(IFERROR(MATCH(I118,check!$H$23:$H$32,0),FALSE),TRUE),IF(IFERROR(MATCH(I118,check!$I$23:$I$45,0),FALSE),TRUE)))</f>
        <v>0</v>
      </c>
      <c r="K118" t="b">
        <f t="shared" si="5"/>
        <v>0</v>
      </c>
      <c r="L118" t="b">
        <f t="shared" si="6"/>
        <v>0</v>
      </c>
      <c r="N118" s="52">
        <f>Colectiva!Q103</f>
        <v>0</v>
      </c>
      <c r="O118" s="52" t="b">
        <f>IF(AND(Colectiva!M103="Trifásica",N118&gt;40),TRUE,IF(Colectiva!M103="Trifásica",IF(IFERROR(MATCH(N118,check!$H$23:$H$32,0),FALSE),TRUE),IF(IFERROR(MATCH(N118,check!$I$23:$I$45,0),FALSE),TRUE)))</f>
        <v>0</v>
      </c>
      <c r="P118" s="52" t="b">
        <f t="shared" si="8"/>
        <v>0</v>
      </c>
      <c r="Q118" t="b">
        <f>IF(AND(OR(Colectiva!N103=check!$D$14,Colectiva!N103=check!$D$16,Colectiva!N103=check!$D$17,Colectiva!N103=check!$D$18,Colectiva!N103=check!$D$19),OR(AND(ISNUMBER(Colectiva!Q103),Colectiva!Q103&gt;=12))),TRUE)</f>
        <v>0</v>
      </c>
      <c r="R118" s="40">
        <f>Colectiva!R103</f>
        <v>0</v>
      </c>
      <c r="S118" s="40" t="b">
        <f>IF(AND(Colectiva!M103="Trifásica",R118&gt;40),TRUE,IF(Colectiva!M103="Trifásica",IF(IFERROR(MATCH(R118,check!$H$23:$H$32,0),FALSE),TRUE),IF(IFERROR(MATCH(R118,check!$I$23:$I$45,0),FALSE),TRUE)))</f>
        <v>0</v>
      </c>
      <c r="T118" t="b">
        <f t="shared" si="3"/>
        <v>0</v>
      </c>
      <c r="U118" t="b">
        <f t="shared" si="4"/>
        <v>0</v>
      </c>
    </row>
    <row r="119" spans="5:21" x14ac:dyDescent="0.2">
      <c r="E119" s="52">
        <f>Colectiva!H104</f>
        <v>0</v>
      </c>
      <c r="F119" s="52" t="b">
        <f>IF(AND(Colectiva!D104="Trifásica",E119&gt;40),TRUE,IF(Colectiva!D104="Trifásica",IF(IFERROR(MATCH(E119,check!$H$23:$H$32,0),FALSE),TRUE),IF(IFERROR(MATCH(E119,check!$I$23:$I$45,0),FALSE),TRUE)))</f>
        <v>0</v>
      </c>
      <c r="G119" s="52" t="b">
        <f t="shared" si="7"/>
        <v>0</v>
      </c>
      <c r="H119" t="b">
        <f>IF(AND(OR(Colectiva!E104=check!$D$14,Colectiva!E104=check!$D$16,Colectiva!E104=check!$D$17,Colectiva!E104=check!$D$18,Colectiva!E104=check!$D$19),OR(AND(ISNUMBER(Colectiva!H104),Colectiva!H104&gt;=12))),TRUE)</f>
        <v>0</v>
      </c>
      <c r="I119" s="40">
        <f>Colectiva!I104</f>
        <v>0</v>
      </c>
      <c r="J119" s="40" t="b">
        <f>IF(AND(Colectiva!D104="Trifásica",I119&gt;40),TRUE,IF(Colectiva!D104="Trifásica",IF(IFERROR(MATCH(I119,check!$H$23:$H$32,0),FALSE),TRUE),IF(IFERROR(MATCH(I119,check!$I$23:$I$45,0),FALSE),TRUE)))</f>
        <v>0</v>
      </c>
      <c r="K119" t="b">
        <f t="shared" si="5"/>
        <v>0</v>
      </c>
      <c r="L119" t="b">
        <f t="shared" si="6"/>
        <v>0</v>
      </c>
      <c r="N119" s="52">
        <f>Colectiva!Q104</f>
        <v>0</v>
      </c>
      <c r="O119" s="52" t="b">
        <f>IF(AND(Colectiva!M104="Trifásica",N119&gt;40),TRUE,IF(Colectiva!M104="Trifásica",IF(IFERROR(MATCH(N119,check!$H$23:$H$32,0),FALSE),TRUE),IF(IFERROR(MATCH(N119,check!$I$23:$I$45,0),FALSE),TRUE)))</f>
        <v>0</v>
      </c>
      <c r="P119" s="52" t="b">
        <f t="shared" si="8"/>
        <v>0</v>
      </c>
      <c r="Q119" t="b">
        <f>IF(AND(OR(Colectiva!N104=check!$D$14,Colectiva!N104=check!$D$16,Colectiva!N104=check!$D$17,Colectiva!N104=check!$D$18,Colectiva!N104=check!$D$19),OR(AND(ISNUMBER(Colectiva!Q104),Colectiva!Q104&gt;=12))),TRUE)</f>
        <v>0</v>
      </c>
      <c r="R119" s="40">
        <f>Colectiva!R104</f>
        <v>0</v>
      </c>
      <c r="S119" s="40" t="b">
        <f>IF(AND(Colectiva!M104="Trifásica",R119&gt;40),TRUE,IF(Colectiva!M104="Trifásica",IF(IFERROR(MATCH(R119,check!$H$23:$H$32,0),FALSE),TRUE),IF(IFERROR(MATCH(R119,check!$I$23:$I$45,0),FALSE),TRUE)))</f>
        <v>0</v>
      </c>
      <c r="T119" t="b">
        <f t="shared" si="3"/>
        <v>0</v>
      </c>
      <c r="U119" t="b">
        <f t="shared" si="4"/>
        <v>0</v>
      </c>
    </row>
    <row r="120" spans="5:21" x14ac:dyDescent="0.2">
      <c r="E120" s="52">
        <f>Colectiva!H105</f>
        <v>0</v>
      </c>
      <c r="F120" s="52" t="b">
        <f>IF(AND(Colectiva!D105="Trifásica",E120&gt;40),TRUE,IF(Colectiva!D105="Trifásica",IF(IFERROR(MATCH(E120,check!$H$23:$H$32,0),FALSE),TRUE),IF(IFERROR(MATCH(E120,check!$I$23:$I$45,0),FALSE),TRUE)))</f>
        <v>0</v>
      </c>
      <c r="G120" s="52" t="b">
        <f t="shared" si="7"/>
        <v>0</v>
      </c>
      <c r="H120" t="b">
        <f>IF(AND(OR(Colectiva!E105=check!$D$14,Colectiva!E105=check!$D$16,Colectiva!E105=check!$D$17,Colectiva!E105=check!$D$18,Colectiva!E105=check!$D$19),OR(AND(ISNUMBER(Colectiva!H105),Colectiva!H105&gt;=12))),TRUE)</f>
        <v>0</v>
      </c>
      <c r="I120" s="40">
        <f>Colectiva!I105</f>
        <v>0</v>
      </c>
      <c r="J120" s="40" t="b">
        <f>IF(AND(Colectiva!D105="Trifásica",I120&gt;40),TRUE,IF(Colectiva!D105="Trifásica",IF(IFERROR(MATCH(I120,check!$H$23:$H$32,0),FALSE),TRUE),IF(IFERROR(MATCH(I120,check!$I$23:$I$45,0),FALSE),TRUE)))</f>
        <v>0</v>
      </c>
      <c r="K120" t="b">
        <f t="shared" si="5"/>
        <v>0</v>
      </c>
      <c r="L120" t="b">
        <f t="shared" si="6"/>
        <v>0</v>
      </c>
      <c r="N120" s="52">
        <f>Colectiva!Q105</f>
        <v>0</v>
      </c>
      <c r="O120" s="52" t="b">
        <f>IF(AND(Colectiva!M105="Trifásica",N120&gt;40),TRUE,IF(Colectiva!M105="Trifásica",IF(IFERROR(MATCH(N120,check!$H$23:$H$32,0),FALSE),TRUE),IF(IFERROR(MATCH(N120,check!$I$23:$I$45,0),FALSE),TRUE)))</f>
        <v>0</v>
      </c>
      <c r="P120" s="52" t="b">
        <f t="shared" si="8"/>
        <v>0</v>
      </c>
      <c r="Q120" t="b">
        <f>IF(AND(OR(Colectiva!N105=check!$D$14,Colectiva!N105=check!$D$16,Colectiva!N105=check!$D$17,Colectiva!N105=check!$D$18,Colectiva!N105=check!$D$19),OR(AND(ISNUMBER(Colectiva!Q105),Colectiva!Q105&gt;=12))),TRUE)</f>
        <v>0</v>
      </c>
      <c r="R120" s="40">
        <f>Colectiva!R105</f>
        <v>0</v>
      </c>
      <c r="S120" s="40" t="b">
        <f>IF(AND(Colectiva!M105="Trifásica",R120&gt;40),TRUE,IF(Colectiva!M105="Trifásica",IF(IFERROR(MATCH(R120,check!$H$23:$H$32,0),FALSE),TRUE),IF(IFERROR(MATCH(R120,check!$I$23:$I$45,0),FALSE),TRUE)))</f>
        <v>0</v>
      </c>
      <c r="T120" t="b">
        <f t="shared" si="3"/>
        <v>0</v>
      </c>
      <c r="U120" t="b">
        <f t="shared" si="4"/>
        <v>0</v>
      </c>
    </row>
    <row r="121" spans="5:21" x14ac:dyDescent="0.2">
      <c r="E121" s="52">
        <f>Colectiva!H106</f>
        <v>0</v>
      </c>
      <c r="F121" s="52" t="b">
        <f>IF(AND(Colectiva!D106="Trifásica",E121&gt;40),TRUE,IF(Colectiva!D106="Trifásica",IF(IFERROR(MATCH(E121,check!$H$23:$H$32,0),FALSE),TRUE),IF(IFERROR(MATCH(E121,check!$I$23:$I$45,0),FALSE),TRUE)))</f>
        <v>0</v>
      </c>
      <c r="G121" s="52" t="b">
        <f t="shared" si="7"/>
        <v>0</v>
      </c>
      <c r="H121" t="b">
        <f>IF(AND(OR(Colectiva!E106=check!$D$14,Colectiva!E106=check!$D$16,Colectiva!E106=check!$D$17,Colectiva!E106=check!$D$18,Colectiva!E106=check!$D$19),OR(AND(ISNUMBER(Colectiva!H106),Colectiva!H106&gt;=12))),TRUE)</f>
        <v>0</v>
      </c>
      <c r="I121" s="40">
        <f>Colectiva!I106</f>
        <v>0</v>
      </c>
      <c r="J121" s="40" t="b">
        <f>IF(AND(Colectiva!D106="Trifásica",I121&gt;40),TRUE,IF(Colectiva!D106="Trifásica",IF(IFERROR(MATCH(I121,check!$H$23:$H$32,0),FALSE),TRUE),IF(IFERROR(MATCH(I121,check!$I$23:$I$45,0),FALSE),TRUE)))</f>
        <v>0</v>
      </c>
      <c r="K121" t="b">
        <f t="shared" si="5"/>
        <v>0</v>
      </c>
      <c r="L121" t="b">
        <f t="shared" si="6"/>
        <v>0</v>
      </c>
      <c r="N121" s="52">
        <f>Colectiva!Q106</f>
        <v>0</v>
      </c>
      <c r="O121" s="52" t="b">
        <f>IF(AND(Colectiva!M106="Trifásica",N121&gt;40),TRUE,IF(Colectiva!M106="Trifásica",IF(IFERROR(MATCH(N121,check!$H$23:$H$32,0),FALSE),TRUE),IF(IFERROR(MATCH(N121,check!$I$23:$I$45,0),FALSE),TRUE)))</f>
        <v>0</v>
      </c>
      <c r="P121" s="52" t="b">
        <f t="shared" si="8"/>
        <v>0</v>
      </c>
      <c r="Q121" t="b">
        <f>IF(AND(OR(Colectiva!N106=check!$D$14,Colectiva!N106=check!$D$16,Colectiva!N106=check!$D$17,Colectiva!N106=check!$D$18,Colectiva!N106=check!$D$19),OR(AND(ISNUMBER(Colectiva!Q106),Colectiva!Q106&gt;=12))),TRUE)</f>
        <v>0</v>
      </c>
      <c r="R121" s="40">
        <f>Colectiva!R106</f>
        <v>0</v>
      </c>
      <c r="S121" s="40" t="b">
        <f>IF(AND(Colectiva!M106="Trifásica",R121&gt;40),TRUE,IF(Colectiva!M106="Trifásica",IF(IFERROR(MATCH(R121,check!$H$23:$H$32,0),FALSE),TRUE),IF(IFERROR(MATCH(R121,check!$I$23:$I$45,0),FALSE),TRUE)))</f>
        <v>0</v>
      </c>
      <c r="T121" t="b">
        <f t="shared" si="3"/>
        <v>0</v>
      </c>
      <c r="U121" t="b">
        <f t="shared" si="4"/>
        <v>0</v>
      </c>
    </row>
    <row r="122" spans="5:21" x14ac:dyDescent="0.2">
      <c r="E122" s="52">
        <f>Colectiva!H107</f>
        <v>0</v>
      </c>
      <c r="F122" s="52" t="b">
        <f>IF(AND(Colectiva!D107="Trifásica",E122&gt;40),TRUE,IF(Colectiva!D107="Trifásica",IF(IFERROR(MATCH(E122,check!$H$23:$H$32,0),FALSE),TRUE),IF(IFERROR(MATCH(E122,check!$I$23:$I$45,0),FALSE),TRUE)))</f>
        <v>0</v>
      </c>
      <c r="G122" s="52" t="b">
        <f t="shared" si="7"/>
        <v>0</v>
      </c>
      <c r="H122" t="b">
        <f>IF(AND(OR(Colectiva!E107=check!$D$14,Colectiva!E107=check!$D$16,Colectiva!E107=check!$D$17,Colectiva!E107=check!$D$18,Colectiva!E107=check!$D$19),OR(AND(ISNUMBER(Colectiva!H107),Colectiva!H107&gt;=12))),TRUE)</f>
        <v>0</v>
      </c>
      <c r="I122" s="40">
        <f>Colectiva!I107</f>
        <v>0</v>
      </c>
      <c r="J122" s="40" t="b">
        <f>IF(AND(Colectiva!D107="Trifásica",I122&gt;40),TRUE,IF(Colectiva!D107="Trifásica",IF(IFERROR(MATCH(I122,check!$H$23:$H$32,0),FALSE),TRUE),IF(IFERROR(MATCH(I122,check!$I$23:$I$45,0),FALSE),TRUE)))</f>
        <v>0</v>
      </c>
      <c r="K122" t="b">
        <f t="shared" si="5"/>
        <v>0</v>
      </c>
      <c r="L122" t="b">
        <f t="shared" si="6"/>
        <v>0</v>
      </c>
      <c r="N122" s="52">
        <f>Colectiva!Q107</f>
        <v>0</v>
      </c>
      <c r="O122" s="52" t="b">
        <f>IF(AND(Colectiva!M107="Trifásica",N122&gt;40),TRUE,IF(Colectiva!M107="Trifásica",IF(IFERROR(MATCH(N122,check!$H$23:$H$32,0),FALSE),TRUE),IF(IFERROR(MATCH(N122,check!$I$23:$I$45,0),FALSE),TRUE)))</f>
        <v>0</v>
      </c>
      <c r="P122" s="52" t="b">
        <f t="shared" si="8"/>
        <v>0</v>
      </c>
      <c r="Q122" t="b">
        <f>IF(AND(OR(Colectiva!N107=check!$D$14,Colectiva!N107=check!$D$16,Colectiva!N107=check!$D$17,Colectiva!N107=check!$D$18,Colectiva!N107=check!$D$19),OR(AND(ISNUMBER(Colectiva!Q107),Colectiva!Q107&gt;=12))),TRUE)</f>
        <v>0</v>
      </c>
      <c r="R122" s="40">
        <f>Colectiva!R107</f>
        <v>0</v>
      </c>
      <c r="S122" s="40" t="b">
        <f>IF(AND(Colectiva!M107="Trifásica",R122&gt;40),TRUE,IF(Colectiva!M107="Trifásica",IF(IFERROR(MATCH(R122,check!$H$23:$H$32,0),FALSE),TRUE),IF(IFERROR(MATCH(R122,check!$I$23:$I$45,0),FALSE),TRUE)))</f>
        <v>0</v>
      </c>
      <c r="T122" t="b">
        <f t="shared" si="3"/>
        <v>0</v>
      </c>
      <c r="U122" t="b">
        <f t="shared" si="4"/>
        <v>0</v>
      </c>
    </row>
    <row r="123" spans="5:21" x14ac:dyDescent="0.2">
      <c r="E123" s="52">
        <f>Colectiva!H108</f>
        <v>0</v>
      </c>
      <c r="F123" s="52" t="b">
        <f>IF(AND(Colectiva!D108="Trifásica",E123&gt;40),TRUE,IF(Colectiva!D108="Trifásica",IF(IFERROR(MATCH(E123,check!$H$23:$H$32,0),FALSE),TRUE),IF(IFERROR(MATCH(E123,check!$I$23:$I$45,0),FALSE),TRUE)))</f>
        <v>0</v>
      </c>
      <c r="G123" s="52" t="b">
        <f t="shared" si="7"/>
        <v>0</v>
      </c>
      <c r="H123" t="b">
        <f>IF(AND(OR(Colectiva!E108=check!$D$14,Colectiva!E108=check!$D$16,Colectiva!E108=check!$D$17,Colectiva!E108=check!$D$18,Colectiva!E108=check!$D$19),OR(AND(ISNUMBER(Colectiva!H108),Colectiva!H108&gt;=12))),TRUE)</f>
        <v>0</v>
      </c>
      <c r="I123" s="40">
        <f>Colectiva!I108</f>
        <v>0</v>
      </c>
      <c r="J123" s="40" t="b">
        <f>IF(AND(Colectiva!D108="Trifásica",I123&gt;40),TRUE,IF(Colectiva!D108="Trifásica",IF(IFERROR(MATCH(I123,check!$H$23:$H$32,0),FALSE),TRUE),IF(IFERROR(MATCH(I123,check!$I$23:$I$45,0),FALSE),TRUE)))</f>
        <v>0</v>
      </c>
      <c r="K123" t="b">
        <f t="shared" si="5"/>
        <v>0</v>
      </c>
      <c r="L123" t="b">
        <f t="shared" si="6"/>
        <v>0</v>
      </c>
      <c r="N123" s="52">
        <f>Colectiva!Q108</f>
        <v>0</v>
      </c>
      <c r="O123" s="52" t="b">
        <f>IF(AND(Colectiva!M108="Trifásica",N123&gt;40),TRUE,IF(Colectiva!M108="Trifásica",IF(IFERROR(MATCH(N123,check!$H$23:$H$32,0),FALSE),TRUE),IF(IFERROR(MATCH(N123,check!$I$23:$I$45,0),FALSE),TRUE)))</f>
        <v>0</v>
      </c>
      <c r="P123" s="52" t="b">
        <f t="shared" si="8"/>
        <v>0</v>
      </c>
      <c r="Q123" t="b">
        <f>IF(AND(OR(Colectiva!N108=check!$D$14,Colectiva!N108=check!$D$16,Colectiva!N108=check!$D$17,Colectiva!N108=check!$D$18,Colectiva!N108=check!$D$19),OR(AND(ISNUMBER(Colectiva!Q108),Colectiva!Q108&gt;=12))),TRUE)</f>
        <v>0</v>
      </c>
      <c r="R123" s="40">
        <f>Colectiva!R108</f>
        <v>0</v>
      </c>
      <c r="S123" s="40" t="b">
        <f>IF(AND(Colectiva!M108="Trifásica",R123&gt;40),TRUE,IF(Colectiva!M108="Trifásica",IF(IFERROR(MATCH(R123,check!$H$23:$H$32,0),FALSE),TRUE),IF(IFERROR(MATCH(R123,check!$I$23:$I$45,0),FALSE),TRUE)))</f>
        <v>0</v>
      </c>
      <c r="T123" t="b">
        <f t="shared" si="3"/>
        <v>0</v>
      </c>
      <c r="U123" t="b">
        <f t="shared" si="4"/>
        <v>0</v>
      </c>
    </row>
    <row r="124" spans="5:21" x14ac:dyDescent="0.2">
      <c r="E124" s="52">
        <f>Colectiva!H109</f>
        <v>0</v>
      </c>
      <c r="F124" s="52" t="b">
        <f>IF(AND(Colectiva!D109="Trifásica",E124&gt;40),TRUE,IF(Colectiva!D109="Trifásica",IF(IFERROR(MATCH(E124,check!$H$23:$H$32,0),FALSE),TRUE),IF(IFERROR(MATCH(E124,check!$I$23:$I$45,0),FALSE),TRUE)))</f>
        <v>0</v>
      </c>
      <c r="G124" s="52" t="b">
        <f t="shared" si="7"/>
        <v>0</v>
      </c>
      <c r="H124" t="b">
        <f>IF(AND(OR(Colectiva!E109=check!$D$14,Colectiva!E109=check!$D$16,Colectiva!E109=check!$D$17,Colectiva!E109=check!$D$18,Colectiva!E109=check!$D$19),OR(AND(ISNUMBER(Colectiva!H109),Colectiva!H109&gt;=12))),TRUE)</f>
        <v>0</v>
      </c>
      <c r="I124" s="40">
        <f>Colectiva!I109</f>
        <v>0</v>
      </c>
      <c r="J124" s="40" t="b">
        <f>IF(AND(Colectiva!D109="Trifásica",I124&gt;40),TRUE,IF(Colectiva!D109="Trifásica",IF(IFERROR(MATCH(I124,check!$H$23:$H$32,0),FALSE),TRUE),IF(IFERROR(MATCH(I124,check!$I$23:$I$45,0),FALSE),TRUE)))</f>
        <v>0</v>
      </c>
      <c r="K124" t="b">
        <f t="shared" si="5"/>
        <v>0</v>
      </c>
      <c r="L124" t="b">
        <f t="shared" si="6"/>
        <v>0</v>
      </c>
      <c r="N124" s="52">
        <f>Colectiva!Q109</f>
        <v>0</v>
      </c>
      <c r="O124" s="52" t="b">
        <f>IF(AND(Colectiva!M109="Trifásica",N124&gt;40),TRUE,IF(Colectiva!M109="Trifásica",IF(IFERROR(MATCH(N124,check!$H$23:$H$32,0),FALSE),TRUE),IF(IFERROR(MATCH(N124,check!$I$23:$I$45,0),FALSE),TRUE)))</f>
        <v>0</v>
      </c>
      <c r="P124" s="52" t="b">
        <f t="shared" si="8"/>
        <v>0</v>
      </c>
      <c r="Q124" t="b">
        <f>IF(AND(OR(Colectiva!N109=check!$D$14,Colectiva!N109=check!$D$16,Colectiva!N109=check!$D$17,Colectiva!N109=check!$D$18,Colectiva!N109=check!$D$19),OR(AND(ISNUMBER(Colectiva!Q109),Colectiva!Q109&gt;=12))),TRUE)</f>
        <v>0</v>
      </c>
      <c r="R124" s="40">
        <f>Colectiva!R109</f>
        <v>0</v>
      </c>
      <c r="S124" s="40" t="b">
        <f>IF(AND(Colectiva!M109="Trifásica",R124&gt;40),TRUE,IF(Colectiva!M109="Trifásica",IF(IFERROR(MATCH(R124,check!$H$23:$H$32,0),FALSE),TRUE),IF(IFERROR(MATCH(R124,check!$I$23:$I$45,0),FALSE),TRUE)))</f>
        <v>0</v>
      </c>
      <c r="T124" t="b">
        <f t="shared" si="3"/>
        <v>0</v>
      </c>
      <c r="U124" t="b">
        <f t="shared" si="4"/>
        <v>0</v>
      </c>
    </row>
    <row r="125" spans="5:21" x14ac:dyDescent="0.2">
      <c r="E125" s="52">
        <f>Colectiva!H110</f>
        <v>0</v>
      </c>
      <c r="F125" s="52" t="b">
        <f>IF(AND(Colectiva!D110="Trifásica",E125&gt;40),TRUE,IF(Colectiva!D110="Trifásica",IF(IFERROR(MATCH(E125,check!$H$23:$H$32,0),FALSE),TRUE),IF(IFERROR(MATCH(E125,check!$I$23:$I$45,0),FALSE),TRUE)))</f>
        <v>0</v>
      </c>
      <c r="G125" s="52" t="b">
        <f t="shared" ref="G125:G130" si="9">AND(ISNUMBER(E125),INT(E125)&gt;39)</f>
        <v>0</v>
      </c>
      <c r="H125" t="b">
        <f>IF(AND(OR(Colectiva!E110=check!$D$14,Colectiva!E110=check!$D$16,Colectiva!E110=check!$D$17,Colectiva!E110=check!$D$18,Colectiva!E110=check!$D$19),OR(AND(ISNUMBER(Colectiva!H110),Colectiva!H110&gt;=12))),TRUE)</f>
        <v>0</v>
      </c>
      <c r="I125" s="40">
        <f>Colectiva!I110</f>
        <v>0</v>
      </c>
      <c r="J125" s="40" t="b">
        <f>IF(AND(Colectiva!D110="Trifásica",I125&gt;40),TRUE,IF(Colectiva!D110="Trifásica",IF(IFERROR(MATCH(I125,check!$H$23:$H$32,0),FALSE),TRUE),IF(IFERROR(MATCH(I125,check!$I$23:$I$45,0),FALSE),TRUE)))</f>
        <v>0</v>
      </c>
      <c r="K125" t="b">
        <f t="shared" si="5"/>
        <v>0</v>
      </c>
      <c r="L125" t="b">
        <f t="shared" si="6"/>
        <v>0</v>
      </c>
      <c r="N125" s="52">
        <f>Colectiva!Q110</f>
        <v>0</v>
      </c>
      <c r="O125" s="52" t="b">
        <f>IF(AND(Colectiva!M110="Trifásica",N125&gt;40),TRUE,IF(Colectiva!M110="Trifásica",IF(IFERROR(MATCH(N125,check!$H$23:$H$32,0),FALSE),TRUE),IF(IFERROR(MATCH(N125,check!$I$23:$I$45,0),FALSE),TRUE)))</f>
        <v>0</v>
      </c>
      <c r="P125" s="52" t="b">
        <f t="shared" ref="P125:P130" si="10">AND(ISNUMBER(N125),INT(N125)&gt;39)</f>
        <v>0</v>
      </c>
      <c r="Q125" t="b">
        <f>IF(AND(OR(Colectiva!N110=check!$D$14,Colectiva!N110=check!$D$16,Colectiva!N110=check!$D$17,Colectiva!N110=check!$D$18,Colectiva!N110=check!$D$19),OR(AND(ISNUMBER(Colectiva!Q110),Colectiva!Q110&gt;=12))),TRUE)</f>
        <v>0</v>
      </c>
      <c r="R125" s="40">
        <f>Colectiva!R110</f>
        <v>0</v>
      </c>
      <c r="S125" s="40" t="b">
        <f>IF(AND(Colectiva!M110="Trifásica",R125&gt;40),TRUE,IF(Colectiva!M110="Trifásica",IF(IFERROR(MATCH(R125,check!$H$23:$H$32,0),FALSE),TRUE),IF(IFERROR(MATCH(R125,check!$I$23:$I$45,0),FALSE),TRUE)))</f>
        <v>0</v>
      </c>
      <c r="T125" t="b">
        <f t="shared" ref="T125:T126" si="11">ROUND(R125,0)&lt;ROUND(N125,0)</f>
        <v>0</v>
      </c>
      <c r="U125" t="b">
        <f t="shared" ref="U125:U126" si="12">AND(S125,T125)</f>
        <v>0</v>
      </c>
    </row>
    <row r="126" spans="5:21" x14ac:dyDescent="0.2">
      <c r="E126" s="52">
        <f>Colectiva!H111</f>
        <v>0</v>
      </c>
      <c r="F126" s="52" t="b">
        <f>IF(AND(Colectiva!D111="Trifásica",E126&gt;40),TRUE,IF(Colectiva!D111="Trifásica",IF(IFERROR(MATCH(E126,check!$H$23:$H$32,0),FALSE),TRUE),IF(IFERROR(MATCH(E126,check!$I$23:$I$45,0),FALSE),TRUE)))</f>
        <v>0</v>
      </c>
      <c r="G126" s="52" t="b">
        <f t="shared" si="9"/>
        <v>0</v>
      </c>
      <c r="H126" t="b">
        <f>IF(AND(OR(Colectiva!E111=check!$D$14,Colectiva!E111=check!$D$16,Colectiva!E111=check!$D$17,Colectiva!E111=check!$D$18,Colectiva!E111=check!$D$19),OR(AND(ISNUMBER(Colectiva!H111),Colectiva!H111&gt;=12))),TRUE)</f>
        <v>0</v>
      </c>
      <c r="I126" s="40">
        <f>Colectiva!I111</f>
        <v>0</v>
      </c>
      <c r="J126" s="40" t="b">
        <f>IF(AND(Colectiva!D111="Trifásica",I126&gt;40),TRUE,IF(Colectiva!D111="Trifásica",IF(IFERROR(MATCH(I126,check!$H$23:$H$32,0),FALSE),TRUE),IF(IFERROR(MATCH(I126,check!$I$23:$I$45,0),FALSE),TRUE)))</f>
        <v>0</v>
      </c>
      <c r="K126" t="b">
        <f t="shared" ref="K126:K130" si="13">ROUND(I126,0)&lt;ROUND(E126,0)</f>
        <v>0</v>
      </c>
      <c r="L126" t="b">
        <f t="shared" ref="L126:L130" si="14">AND(J126,K126)</f>
        <v>0</v>
      </c>
      <c r="N126" s="52">
        <f>Colectiva!Q111</f>
        <v>0</v>
      </c>
      <c r="O126" s="52" t="b">
        <f>IF(AND(Colectiva!M111="Trifásica",N126&gt;40),TRUE,IF(Colectiva!M111="Trifásica",IF(IFERROR(MATCH(N126,check!$H$23:$H$32,0),FALSE),TRUE),IF(IFERROR(MATCH(N126,check!$I$23:$I$45,0),FALSE),TRUE)))</f>
        <v>0</v>
      </c>
      <c r="P126" s="52" t="b">
        <f t="shared" si="10"/>
        <v>0</v>
      </c>
      <c r="Q126" t="b">
        <f>IF(AND(OR(Colectiva!N111=check!$D$14,Colectiva!N111=check!$D$16,Colectiva!N111=check!$D$17,Colectiva!N111=check!$D$18,Colectiva!N111=check!$D$19),OR(AND(ISNUMBER(Colectiva!Q111),Colectiva!Q111&gt;=12))),TRUE)</f>
        <v>0</v>
      </c>
      <c r="R126" s="40">
        <f>Colectiva!R111</f>
        <v>0</v>
      </c>
      <c r="S126" s="40" t="b">
        <f>IF(AND(Colectiva!M111="Trifásica",R126&gt;40),TRUE,IF(Colectiva!M111="Trifásica",IF(IFERROR(MATCH(R126,check!$H$23:$H$32,0),FALSE),TRUE),IF(IFERROR(MATCH(R126,check!$I$23:$I$45,0),FALSE),TRUE)))</f>
        <v>0</v>
      </c>
      <c r="T126" t="b">
        <f t="shared" si="11"/>
        <v>0</v>
      </c>
      <c r="U126" t="b">
        <f t="shared" si="12"/>
        <v>0</v>
      </c>
    </row>
    <row r="127" spans="5:21" x14ac:dyDescent="0.2">
      <c r="E127" s="52">
        <f>Colectiva!H112</f>
        <v>0</v>
      </c>
      <c r="F127" s="52" t="b">
        <f>IF(AND(Colectiva!D112="Trifásica",E127&gt;40),TRUE,IF(Colectiva!D112="Trifásica",IF(IFERROR(MATCH(E127,check!$H$23:$H$32,0),FALSE),TRUE),IF(IFERROR(MATCH(E127,check!$I$23:$I$45,0),FALSE),TRUE)))</f>
        <v>0</v>
      </c>
      <c r="G127" s="52" t="b">
        <f t="shared" si="9"/>
        <v>0</v>
      </c>
      <c r="H127" t="b">
        <f>IF(AND(OR(Colectiva!E112=check!$D$14,Colectiva!E112=check!$D$16,Colectiva!E112=check!$D$17,Colectiva!E112=check!$D$18,Colectiva!E112=check!$D$19),OR(AND(ISNUMBER(Colectiva!H112),Colectiva!H112&gt;=12))),TRUE)</f>
        <v>0</v>
      </c>
      <c r="I127" s="40">
        <f>Colectiva!I112</f>
        <v>0</v>
      </c>
      <c r="J127" s="40" t="b">
        <f>IF(AND(Colectiva!D112="Trifásica",I127&gt;40),TRUE,IF(Colectiva!D112="Trifásica",IF(IFERROR(MATCH(I127,check!$H$23:$H$32,0),FALSE),TRUE),IF(IFERROR(MATCH(I127,check!$I$23:$I$45,0),FALSE),TRUE)))</f>
        <v>0</v>
      </c>
      <c r="K127" t="b">
        <f t="shared" si="13"/>
        <v>0</v>
      </c>
      <c r="L127" t="b">
        <f t="shared" si="14"/>
        <v>0</v>
      </c>
      <c r="N127" s="52">
        <f>Colectiva!Q112</f>
        <v>0</v>
      </c>
      <c r="O127" s="52" t="b">
        <f>IF(AND(Colectiva!M112="Trifásica",N127&gt;40),TRUE,IF(Colectiva!M112="Trifásica",IF(IFERROR(MATCH(N127,check!$H$23:$H$32,0),FALSE),TRUE),IF(IFERROR(MATCH(N127,check!$I$23:$I$45,0),FALSE),TRUE)))</f>
        <v>0</v>
      </c>
      <c r="P127" s="52" t="b">
        <f t="shared" si="10"/>
        <v>0</v>
      </c>
      <c r="Q127" t="b">
        <f>IF(AND(OR(Colectiva!N112=check!$D$14,Colectiva!N112=check!$D$16,Colectiva!N112=check!$D$17,Colectiva!N112=check!$D$18,Colectiva!N112=check!$D$19),OR(AND(ISNUMBER(Colectiva!Q112),Colectiva!Q112&gt;=12))),TRUE)</f>
        <v>0</v>
      </c>
      <c r="R127" s="40">
        <f>Colectiva!R112</f>
        <v>0</v>
      </c>
      <c r="S127" s="40" t="b">
        <f>IF(AND(Colectiva!M112="Trifásica",R127&gt;40),TRUE,IF(Colectiva!M112="Trifásica",IF(IFERROR(MATCH(R127,check!$H$23:$H$32,0),FALSE),TRUE),IF(IFERROR(MATCH(R127,check!$I$23:$I$45,0),FALSE),TRUE)))</f>
        <v>0</v>
      </c>
      <c r="T127" t="b">
        <f>ROUND(R127,0)&lt;ROUND(N127,0)</f>
        <v>0</v>
      </c>
      <c r="U127" t="b">
        <f>AND(S127,T127)</f>
        <v>0</v>
      </c>
    </row>
    <row r="128" spans="5:21" x14ac:dyDescent="0.2">
      <c r="E128" s="52">
        <f>Colectiva!H113</f>
        <v>0</v>
      </c>
      <c r="F128" s="52" t="b">
        <f>IF(AND(Colectiva!D113="Trifásica",E128&gt;40),TRUE,IF(Colectiva!D113="Trifásica",IF(IFERROR(MATCH(E128,check!$H$23:$H$32,0),FALSE),TRUE),IF(IFERROR(MATCH(E128,check!$I$23:$I$45,0),FALSE),TRUE)))</f>
        <v>0</v>
      </c>
      <c r="G128" s="52" t="b">
        <f t="shared" si="9"/>
        <v>0</v>
      </c>
      <c r="H128" t="b">
        <f>IF(AND(OR(Colectiva!E113=check!$D$14,Colectiva!E113=check!$D$16,Colectiva!E113=check!$D$17,Colectiva!E113=check!$D$18,Colectiva!E113=check!$D$19),OR(AND(ISNUMBER(Colectiva!H113),Colectiva!H113&gt;=12))),TRUE)</f>
        <v>0</v>
      </c>
      <c r="I128" s="40">
        <f>Colectiva!I113</f>
        <v>0</v>
      </c>
      <c r="J128" s="40" t="b">
        <f>IF(AND(Colectiva!D113="Trifásica",I128&gt;40),TRUE,IF(Colectiva!D113="Trifásica",IF(IFERROR(MATCH(I128,check!$H$23:$H$32,0),FALSE),TRUE),IF(IFERROR(MATCH(I128,check!$I$23:$I$45,0),FALSE),TRUE)))</f>
        <v>0</v>
      </c>
      <c r="K128" t="b">
        <f t="shared" si="13"/>
        <v>0</v>
      </c>
      <c r="L128" t="b">
        <f t="shared" si="14"/>
        <v>0</v>
      </c>
      <c r="N128" s="52">
        <f>Colectiva!Q113</f>
        <v>0</v>
      </c>
      <c r="O128" s="52" t="b">
        <f>IF(AND(Colectiva!M113="Trifásica",N128&gt;40),TRUE,IF(Colectiva!M113="Trifásica",IF(IFERROR(MATCH(N128,check!$H$23:$H$32,0),FALSE),TRUE),IF(IFERROR(MATCH(N128,check!$I$23:$I$45,0),FALSE),TRUE)))</f>
        <v>0</v>
      </c>
      <c r="P128" s="52" t="b">
        <f t="shared" si="10"/>
        <v>0</v>
      </c>
      <c r="Q128" t="b">
        <f>IF(AND(OR(Colectiva!N113=check!$D$14,Colectiva!N113=check!$D$16,Colectiva!N113=check!$D$17,Colectiva!N113=check!$D$18,Colectiva!N113=check!$D$19),OR(AND(ISNUMBER(Colectiva!Q113),Colectiva!Q113&gt;=12))),TRUE)</f>
        <v>0</v>
      </c>
      <c r="R128" s="40">
        <f>Colectiva!R113</f>
        <v>0</v>
      </c>
      <c r="S128" s="40" t="b">
        <f>IF(AND(Colectiva!M113="Trifásica",R128&gt;40),TRUE,IF(Colectiva!M113="Trifásica",IF(IFERROR(MATCH(R128,check!$H$23:$H$32,0),FALSE),TRUE),IF(IFERROR(MATCH(R128,check!$I$23:$I$45,0),FALSE),TRUE)))</f>
        <v>0</v>
      </c>
      <c r="T128" t="b">
        <f t="shared" ref="T128:T130" si="15">ROUND(R128,0)&lt;ROUND(N128,0)</f>
        <v>0</v>
      </c>
      <c r="U128" t="b">
        <f t="shared" ref="U128:U130" si="16">AND(S128,T128)</f>
        <v>0</v>
      </c>
    </row>
    <row r="129" spans="5:21" x14ac:dyDescent="0.2">
      <c r="E129" s="52">
        <f>Colectiva!H114</f>
        <v>0</v>
      </c>
      <c r="F129" s="52" t="b">
        <f>IF(AND(Colectiva!D114="Trifásica",E129&gt;40),TRUE,IF(Colectiva!D114="Trifásica",IF(IFERROR(MATCH(E129,check!$H$23:$H$32,0),FALSE),TRUE),IF(IFERROR(MATCH(E129,check!$I$23:$I$45,0),FALSE),TRUE)))</f>
        <v>0</v>
      </c>
      <c r="G129" s="52" t="b">
        <f t="shared" si="9"/>
        <v>0</v>
      </c>
      <c r="H129" t="b">
        <f>IF(AND(OR(Colectiva!E114=check!$D$14,Colectiva!E114=check!$D$16,Colectiva!E114=check!$D$17,Colectiva!E114=check!$D$18,Colectiva!E114=check!$D$19),OR(AND(ISNUMBER(Colectiva!H114),Colectiva!H114&gt;=12))),TRUE)</f>
        <v>0</v>
      </c>
      <c r="I129" s="40">
        <f>Colectiva!I114</f>
        <v>0</v>
      </c>
      <c r="J129" s="40" t="b">
        <f>IF(AND(Colectiva!D114="Trifásica",I129&gt;40),TRUE,IF(Colectiva!D114="Trifásica",IF(IFERROR(MATCH(I129,check!$H$23:$H$32,0),FALSE),TRUE),IF(IFERROR(MATCH(I129,check!$I$23:$I$45,0),FALSE),TRUE)))</f>
        <v>0</v>
      </c>
      <c r="K129" t="b">
        <f t="shared" si="13"/>
        <v>0</v>
      </c>
      <c r="L129" t="b">
        <f t="shared" si="14"/>
        <v>0</v>
      </c>
      <c r="N129" s="52">
        <f>Colectiva!Q114</f>
        <v>0</v>
      </c>
      <c r="O129" s="52" t="b">
        <f>IF(AND(Colectiva!M114="Trifásica",N129&gt;40),TRUE,IF(Colectiva!M114="Trifásica",IF(IFERROR(MATCH(N129,check!$H$23:$H$32,0),FALSE),TRUE),IF(IFERROR(MATCH(N129,check!$I$23:$I$45,0),FALSE),TRUE)))</f>
        <v>0</v>
      </c>
      <c r="P129" s="52" t="b">
        <f t="shared" si="10"/>
        <v>0</v>
      </c>
      <c r="Q129" t="b">
        <f>IF(AND(OR(Colectiva!N114=check!$D$14,Colectiva!N114=check!$D$16,Colectiva!N114=check!$D$17,Colectiva!N114=check!$D$18,Colectiva!N114=check!$D$19),OR(AND(ISNUMBER(Colectiva!Q114),Colectiva!Q114&gt;=12))),TRUE)</f>
        <v>0</v>
      </c>
      <c r="R129" s="40">
        <f>Colectiva!R114</f>
        <v>0</v>
      </c>
      <c r="S129" s="40" t="b">
        <f>IF(AND(Colectiva!M114="Trifásica",R129&gt;40),TRUE,IF(Colectiva!M114="Trifásica",IF(IFERROR(MATCH(R129,check!$H$23:$H$32,0),FALSE),TRUE),IF(IFERROR(MATCH(R129,check!$I$23:$I$45,0),FALSE),TRUE)))</f>
        <v>0</v>
      </c>
      <c r="T129" t="b">
        <f t="shared" si="15"/>
        <v>0</v>
      </c>
      <c r="U129" t="b">
        <f t="shared" si="16"/>
        <v>0</v>
      </c>
    </row>
    <row r="130" spans="5:21" x14ac:dyDescent="0.2">
      <c r="E130" s="52">
        <f>Colectiva!H115</f>
        <v>0</v>
      </c>
      <c r="F130" s="52" t="b">
        <f>IF(AND(Colectiva!D115="Trifásica",E130&gt;40),TRUE,IF(Colectiva!D115="Trifásica",IF(IFERROR(MATCH(E130,check!$H$23:$H$32,0),FALSE),TRUE),IF(IFERROR(MATCH(E130,check!$I$23:$I$45,0),FALSE),TRUE)))</f>
        <v>0</v>
      </c>
      <c r="G130" s="52" t="b">
        <f t="shared" si="9"/>
        <v>0</v>
      </c>
      <c r="H130" t="b">
        <f>IF(AND(OR(Colectiva!E115=check!$D$14,Colectiva!E115=check!$D$16,Colectiva!E115=check!$D$17,Colectiva!E115=check!$D$18,Colectiva!E115=check!$D$19),OR(AND(ISNUMBER(Colectiva!H115),Colectiva!H115&gt;=12))),TRUE)</f>
        <v>0</v>
      </c>
      <c r="I130" s="40">
        <f>Colectiva!I115</f>
        <v>0</v>
      </c>
      <c r="J130" s="40" t="b">
        <f>IF(AND(Colectiva!D115="Trifásica",I130&gt;40),TRUE,IF(Colectiva!D115="Trifásica",IF(IFERROR(MATCH(I130,check!$H$23:$H$32,0),FALSE),TRUE),IF(IFERROR(MATCH(I130,check!$I$23:$I$45,0),FALSE),TRUE)))</f>
        <v>0</v>
      </c>
      <c r="K130" t="b">
        <f t="shared" si="13"/>
        <v>0</v>
      </c>
      <c r="L130" t="b">
        <f t="shared" si="14"/>
        <v>0</v>
      </c>
      <c r="N130" s="52">
        <f>Colectiva!Q115</f>
        <v>0</v>
      </c>
      <c r="O130" s="52" t="b">
        <f>IF(AND(Colectiva!M115="Trifásica",N130&gt;40),TRUE,IF(Colectiva!M115="Trifásica",IF(IFERROR(MATCH(N130,check!$H$23:$H$32,0),FALSE),TRUE),IF(IFERROR(MATCH(N130,check!$I$23:$I$45,0),FALSE),TRUE)))</f>
        <v>0</v>
      </c>
      <c r="P130" s="52" t="b">
        <f t="shared" si="10"/>
        <v>0</v>
      </c>
      <c r="Q130" t="b">
        <f>IF(AND(OR(Colectiva!N115=check!$D$14,Colectiva!N115=check!$D$16,Colectiva!N115=check!$D$17,Colectiva!N115=check!$D$18,Colectiva!N115=check!$D$19),OR(AND(ISNUMBER(Colectiva!Q115),Colectiva!Q115&gt;=12))),TRUE)</f>
        <v>0</v>
      </c>
      <c r="R130" s="40">
        <f>Colectiva!R115</f>
        <v>0</v>
      </c>
      <c r="S130" s="40" t="b">
        <f>IF(AND(Colectiva!M115="Trifásica",R130&gt;40),TRUE,IF(Colectiva!M115="Trifásica",IF(IFERROR(MATCH(R130,check!$H$23:$H$32,0),FALSE),TRUE),IF(IFERROR(MATCH(R130,check!$I$23:$I$45,0),FALSE),TRUE)))</f>
        <v>0</v>
      </c>
      <c r="T130" t="b">
        <f t="shared" si="15"/>
        <v>0</v>
      </c>
      <c r="U130" t="b">
        <f t="shared" si="16"/>
        <v>0</v>
      </c>
    </row>
  </sheetData>
  <mergeCells count="6">
    <mergeCell ref="E60:F60"/>
    <mergeCell ref="N60:O60"/>
    <mergeCell ref="R60:U60"/>
    <mergeCell ref="I60:L60"/>
    <mergeCell ref="I2:N2"/>
    <mergeCell ref="E42:F42"/>
  </mergeCells>
  <dataValidations disablePrompts="1" count="1">
    <dataValidation type="list" allowBlank="1" showInputMessage="1" showErrorMessage="1" sqref="G49" xr:uid="{00000000-0002-0000-0600-000000000000}">
      <formula1>$F$48:$F$52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individual (2)</vt:lpstr>
      <vt:lpstr>Inicio</vt:lpstr>
      <vt:lpstr>Individual</vt:lpstr>
      <vt:lpstr>Colectiva</vt:lpstr>
      <vt:lpstr>Colectiva (2)</vt:lpstr>
      <vt:lpstr>Reconexion</vt:lpstr>
      <vt:lpstr>check</vt:lpstr>
    </vt:vector>
  </TitlesOfParts>
  <Company>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Nicolás Machin</cp:lastModifiedBy>
  <dcterms:created xsi:type="dcterms:W3CDTF">2019-01-08T17:44:40Z</dcterms:created>
  <dcterms:modified xsi:type="dcterms:W3CDTF">2026-08-21T12:33:33Z</dcterms:modified>
</cp:coreProperties>
</file>